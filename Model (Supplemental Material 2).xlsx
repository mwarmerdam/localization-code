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M:\tnw\bt\imb\imb-shared\imb-current\Marieke\Manuscripts\Localisation\Files for sending\"/>
    </mc:Choice>
  </mc:AlternateContent>
  <xr:revisionPtr revIDLastSave="0" documentId="13_ncr:1_{A803E1AA-DD3B-422E-91FC-57E8E6A8EC0F}" xr6:coauthVersionLast="47" xr6:coauthVersionMax="47" xr10:uidLastSave="{00000000-0000-0000-0000-000000000000}"/>
  <bookViews>
    <workbookView xWindow="-25110" yWindow="2190" windowWidth="21600" windowHeight="11175" tabRatio="728" activeTab="4" xr2:uid="{00000000-000D-0000-FFFF-FFFF00000000}"/>
  </bookViews>
  <sheets>
    <sheet name="Cmol" sheetId="1" r:id="rId1"/>
    <sheet name="val" sheetId="6" r:id="rId2"/>
    <sheet name="S" sheetId="9" r:id="rId3"/>
    <sheet name="Results" sheetId="43" r:id="rId4"/>
    <sheet name="SUMMARY" sheetId="58" r:id="rId5"/>
    <sheet name="Bounds_A" sheetId="16" r:id="rId6"/>
    <sheet name="Bounds_B" sheetId="44" r:id="rId7"/>
    <sheet name="Bounds_C" sheetId="45" r:id="rId8"/>
    <sheet name="Bounds_D" sheetId="46" r:id="rId9"/>
    <sheet name="Bounds_E" sheetId="47" r:id="rId10"/>
    <sheet name="Bounds_F" sheetId="48" r:id="rId11"/>
    <sheet name="Bounds_G" sheetId="49" r:id="rId12"/>
    <sheet name="Bounds_H" sheetId="50" r:id="rId13"/>
    <sheet name="Bounds_I" sheetId="51" r:id="rId14"/>
    <sheet name="Bounds_J" sheetId="52" r:id="rId15"/>
    <sheet name="Bounds_K" sheetId="53" r:id="rId16"/>
    <sheet name="Bounds_L" sheetId="54" r:id="rId17"/>
    <sheet name="Bounds_M" sheetId="59" r:id="rId18"/>
    <sheet name="Bounds_N" sheetId="60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80" i="43" l="1"/>
  <c r="AK180" i="43"/>
  <c r="AI180" i="43"/>
  <c r="AH180" i="43"/>
  <c r="AF180" i="43"/>
  <c r="AE180" i="43"/>
  <c r="AC180" i="43"/>
  <c r="AB180" i="43"/>
  <c r="Z180" i="43"/>
  <c r="Y180" i="43"/>
  <c r="W180" i="43"/>
  <c r="V180" i="43"/>
  <c r="T180" i="43"/>
  <c r="S180" i="43"/>
  <c r="Q180" i="43"/>
  <c r="P180" i="43"/>
  <c r="N180" i="43"/>
  <c r="M180" i="43"/>
  <c r="H180" i="43"/>
  <c r="G180" i="43"/>
  <c r="K180" i="43"/>
  <c r="J180" i="43"/>
  <c r="E180" i="43"/>
  <c r="D180" i="43"/>
  <c r="AR179" i="43"/>
  <c r="AQ179" i="43"/>
  <c r="AR178" i="43"/>
  <c r="AQ178" i="43"/>
  <c r="AO179" i="43"/>
  <c r="AN179" i="43"/>
  <c r="AO178" i="43"/>
  <c r="AN178" i="43"/>
  <c r="AL179" i="43"/>
  <c r="AK179" i="43"/>
  <c r="AL178" i="43"/>
  <c r="AK178" i="43"/>
  <c r="AI179" i="43"/>
  <c r="AH179" i="43"/>
  <c r="AI178" i="43"/>
  <c r="AH178" i="43"/>
  <c r="AF179" i="43"/>
  <c r="AE179" i="43"/>
  <c r="AF178" i="43"/>
  <c r="AE178" i="43"/>
  <c r="AC179" i="43"/>
  <c r="AB179" i="43"/>
  <c r="AC178" i="43"/>
  <c r="AB178" i="43"/>
  <c r="Z179" i="43"/>
  <c r="Y179" i="43"/>
  <c r="Z178" i="43"/>
  <c r="Y178" i="43"/>
  <c r="W179" i="43"/>
  <c r="V179" i="43"/>
  <c r="W178" i="43"/>
  <c r="V178" i="43"/>
  <c r="T179" i="43"/>
  <c r="S179" i="43"/>
  <c r="T178" i="43"/>
  <c r="S178" i="43"/>
  <c r="Q179" i="43"/>
  <c r="P179" i="43"/>
  <c r="Q178" i="43"/>
  <c r="P178" i="43"/>
  <c r="N178" i="43"/>
  <c r="M178" i="43"/>
  <c r="K178" i="43"/>
  <c r="J178" i="43"/>
  <c r="N179" i="43"/>
  <c r="M179" i="43"/>
  <c r="K179" i="43"/>
  <c r="J179" i="43"/>
  <c r="H179" i="43"/>
  <c r="G179" i="43"/>
  <c r="H178" i="43"/>
  <c r="G178" i="43"/>
  <c r="D179" i="43"/>
  <c r="E179" i="43"/>
  <c r="E178" i="43"/>
  <c r="D178" i="43"/>
  <c r="AL176" i="43"/>
  <c r="H15" i="58" s="1"/>
  <c r="AR176" i="43"/>
  <c r="H17" i="58" s="1"/>
  <c r="AO176" i="43"/>
  <c r="H16" i="58" s="1"/>
  <c r="C16" i="58"/>
  <c r="C11" i="58"/>
  <c r="C13" i="58"/>
  <c r="C15" i="58"/>
  <c r="C9" i="58"/>
  <c r="C6" i="58"/>
  <c r="C7" i="58"/>
  <c r="C5" i="58"/>
  <c r="AI176" i="43"/>
  <c r="H14" i="58" s="1"/>
  <c r="AF176" i="43"/>
  <c r="H13" i="58" s="1"/>
  <c r="AC176" i="43"/>
  <c r="H12" i="58" s="1"/>
  <c r="Z176" i="43"/>
  <c r="H11" i="58" s="1"/>
  <c r="W176" i="43"/>
  <c r="H10" i="58" s="1"/>
  <c r="T176" i="43"/>
  <c r="H9" i="58" s="1"/>
  <c r="Q176" i="43"/>
  <c r="H8" i="58" s="1"/>
  <c r="N176" i="43"/>
  <c r="H7" i="58" s="1"/>
  <c r="K176" i="43"/>
  <c r="H6" i="58" s="1"/>
  <c r="H176" i="43"/>
  <c r="E176" i="43"/>
  <c r="H4" i="58" s="1"/>
  <c r="S6" i="1"/>
  <c r="T6" i="1"/>
  <c r="S7" i="1"/>
  <c r="S8" i="1"/>
  <c r="T8" i="1"/>
  <c r="S9" i="1"/>
  <c r="S11" i="1" s="1"/>
  <c r="T9" i="1"/>
  <c r="S10" i="1"/>
  <c r="T10" i="1"/>
  <c r="R8" i="1"/>
  <c r="R9" i="1"/>
  <c r="R10" i="1"/>
  <c r="R6" i="1"/>
  <c r="O23" i="1"/>
  <c r="O24" i="1"/>
  <c r="O25" i="1"/>
  <c r="O26" i="1"/>
  <c r="O27" i="1"/>
  <c r="O15" i="1"/>
  <c r="O16" i="1"/>
  <c r="O17" i="1"/>
  <c r="O18" i="1"/>
  <c r="O19" i="1"/>
  <c r="O7" i="1"/>
  <c r="H5" i="58" l="1"/>
  <c r="O20" i="1"/>
  <c r="N7" i="1" l="1"/>
  <c r="R7" i="1" s="1"/>
  <c r="R11" i="1" s="1"/>
  <c r="P7" i="1"/>
  <c r="T7" i="1" s="1"/>
  <c r="T11" i="1" l="1"/>
  <c r="N19" i="1"/>
  <c r="N18" i="1"/>
  <c r="N17" i="1"/>
  <c r="N16" i="1"/>
  <c r="N15" i="1"/>
  <c r="P19" i="1"/>
  <c r="P18" i="1"/>
  <c r="P17" i="1"/>
  <c r="P16" i="1"/>
  <c r="P15" i="1"/>
  <c r="N27" i="1"/>
  <c r="N26" i="1"/>
  <c r="N25" i="1"/>
  <c r="N24" i="1"/>
  <c r="N23" i="1"/>
  <c r="P27" i="1"/>
  <c r="P26" i="1"/>
  <c r="P25" i="1"/>
  <c r="P24" i="1"/>
  <c r="P23" i="1"/>
  <c r="P20" i="1" l="1"/>
  <c r="N20" i="1"/>
  <c r="K10" i="1"/>
  <c r="X10" i="1" s="1"/>
  <c r="K9" i="1"/>
  <c r="X9" i="1" s="1"/>
  <c r="K8" i="1"/>
  <c r="X8" i="1" s="1"/>
  <c r="K7" i="1"/>
  <c r="X7" i="1" s="1"/>
  <c r="K6" i="1"/>
  <c r="X6" i="1" s="1"/>
  <c r="AB24" i="1" l="1"/>
  <c r="AB6" i="1"/>
  <c r="AB42" i="1"/>
  <c r="AB15" i="1"/>
  <c r="AB33" i="1"/>
  <c r="AB38" i="1" s="1"/>
  <c r="AB51" i="1"/>
  <c r="AB25" i="1"/>
  <c r="AB7" i="1"/>
  <c r="AB52" i="1"/>
  <c r="AB43" i="1"/>
  <c r="AB16" i="1"/>
  <c r="AB34" i="1"/>
  <c r="AB17" i="1"/>
  <c r="AB35" i="1"/>
  <c r="AB53" i="1"/>
  <c r="AB26" i="1"/>
  <c r="AB8" i="1"/>
  <c r="AB44" i="1"/>
  <c r="AB36" i="1"/>
  <c r="AB45" i="1"/>
  <c r="AB27" i="1"/>
  <c r="AB9" i="1"/>
  <c r="AB18" i="1"/>
  <c r="AB54" i="1"/>
  <c r="AB55" i="1"/>
  <c r="AB19" i="1"/>
  <c r="AB10" i="1"/>
  <c r="AB28" i="1"/>
  <c r="AB46" i="1"/>
  <c r="AB37" i="1"/>
  <c r="W10" i="1"/>
  <c r="AA19" i="1" s="1"/>
  <c r="V6" i="1"/>
  <c r="Z42" i="1" s="1"/>
  <c r="V7" i="1"/>
  <c r="V10" i="1"/>
  <c r="Z46" i="1" s="1"/>
  <c r="W7" i="1"/>
  <c r="AA34" i="1" s="1"/>
  <c r="W8" i="1"/>
  <c r="V9" i="1"/>
  <c r="Z19" i="1"/>
  <c r="V8" i="1"/>
  <c r="W6" i="1"/>
  <c r="W9" i="1"/>
  <c r="AB47" i="1" l="1"/>
  <c r="AB56" i="1"/>
  <c r="AB11" i="1"/>
  <c r="AB12" i="1" s="1"/>
  <c r="AB20" i="1"/>
  <c r="AB21" i="1" s="1"/>
  <c r="AB29" i="1"/>
  <c r="AB30" i="1" s="1"/>
  <c r="Z15" i="1"/>
  <c r="Z6" i="1"/>
  <c r="Z24" i="1"/>
  <c r="Z51" i="1"/>
  <c r="Z18" i="1"/>
  <c r="Z53" i="1"/>
  <c r="AA35" i="1"/>
  <c r="AA16" i="1"/>
  <c r="Z37" i="1"/>
  <c r="Z7" i="1"/>
  <c r="Z33" i="1"/>
  <c r="AA37" i="1"/>
  <c r="AA46" i="1"/>
  <c r="AA10" i="1"/>
  <c r="AA55" i="1"/>
  <c r="Z28" i="1"/>
  <c r="Z34" i="1"/>
  <c r="AA28" i="1"/>
  <c r="Z55" i="1"/>
  <c r="Z10" i="1"/>
  <c r="Z43" i="1"/>
  <c r="Z16" i="1"/>
  <c r="Z52" i="1"/>
  <c r="Z25" i="1"/>
  <c r="AA17" i="1"/>
  <c r="AA43" i="1"/>
  <c r="AA44" i="1"/>
  <c r="AA26" i="1"/>
  <c r="AA53" i="1"/>
  <c r="AA7" i="1"/>
  <c r="AA52" i="1"/>
  <c r="AA8" i="1"/>
  <c r="AA25" i="1"/>
  <c r="Z35" i="1"/>
  <c r="Z26" i="1"/>
  <c r="Z8" i="1"/>
  <c r="Z17" i="1"/>
  <c r="Z36" i="1"/>
  <c r="Z9" i="1"/>
  <c r="Z27" i="1"/>
  <c r="Z44" i="1"/>
  <c r="Z54" i="1"/>
  <c r="Z45" i="1"/>
  <c r="AA24" i="1"/>
  <c r="AA51" i="1"/>
  <c r="AA6" i="1"/>
  <c r="AA15" i="1"/>
  <c r="AA33" i="1"/>
  <c r="AA42" i="1"/>
  <c r="AA27" i="1"/>
  <c r="AA45" i="1"/>
  <c r="AA54" i="1"/>
  <c r="AA9" i="1"/>
  <c r="AA18" i="1"/>
  <c r="AA36" i="1"/>
  <c r="AB57" i="1" l="1"/>
  <c r="AB48" i="1"/>
  <c r="AB39" i="1"/>
  <c r="AG6" i="1" s="1"/>
  <c r="Z20" i="1"/>
  <c r="Z38" i="1"/>
  <c r="Z29" i="1"/>
  <c r="Z56" i="1"/>
  <c r="Z47" i="1"/>
  <c r="AA47" i="1"/>
  <c r="AA38" i="1"/>
  <c r="AA56" i="1"/>
  <c r="AA20" i="1"/>
  <c r="AA29" i="1"/>
  <c r="Z11" i="1"/>
  <c r="Z12" i="1" s="1"/>
  <c r="AA11" i="1"/>
  <c r="AA12" i="1" s="1"/>
  <c r="B179" i="43" l="1"/>
  <c r="AL6" i="1"/>
  <c r="E27" i="9" s="1"/>
  <c r="AL8" i="1"/>
  <c r="E89" i="9" s="1"/>
  <c r="AL10" i="1"/>
  <c r="E144" i="9" s="1"/>
  <c r="AL9" i="1"/>
  <c r="E138" i="9" s="1"/>
  <c r="AL7" i="1"/>
  <c r="E44" i="9" s="1"/>
  <c r="AA57" i="1"/>
  <c r="AA21" i="1"/>
  <c r="AA39" i="1"/>
  <c r="AA30" i="1"/>
  <c r="AA48" i="1"/>
  <c r="AF6" i="1"/>
  <c r="B181" i="43" s="1"/>
  <c r="Z57" i="1"/>
  <c r="Z30" i="1"/>
  <c r="Z39" i="1"/>
  <c r="Z48" i="1"/>
  <c r="Z21" i="1"/>
  <c r="AE6" i="1" s="1"/>
  <c r="B180" i="43" s="1"/>
  <c r="T174" i="43" l="1"/>
  <c r="F9" i="58" s="1"/>
  <c r="X180" i="43"/>
  <c r="N10" i="58" s="1"/>
  <c r="Q174" i="43"/>
  <c r="F8" i="58" s="1"/>
  <c r="I9" i="58" s="1"/>
  <c r="J9" i="58" s="1"/>
  <c r="X178" i="43"/>
  <c r="K10" i="58" s="1"/>
  <c r="AA179" i="43"/>
  <c r="L11" i="58" s="1"/>
  <c r="W174" i="43"/>
  <c r="F10" i="58" s="1"/>
  <c r="I10" i="58" s="1"/>
  <c r="J10" i="58" s="1"/>
  <c r="Q175" i="43"/>
  <c r="G8" i="58" s="1"/>
  <c r="X179" i="43"/>
  <c r="L10" i="58" s="1"/>
  <c r="R180" i="43"/>
  <c r="N8" i="58" s="1"/>
  <c r="AA178" i="43"/>
  <c r="K11" i="58" s="1"/>
  <c r="M11" i="58" s="1"/>
  <c r="O11" i="58" s="1"/>
  <c r="W175" i="43"/>
  <c r="G10" i="58" s="1"/>
  <c r="Z174" i="43"/>
  <c r="F11" i="58" s="1"/>
  <c r="I11" i="58" s="1"/>
  <c r="J11" i="58" s="1"/>
  <c r="Z175" i="43"/>
  <c r="G11" i="58" s="1"/>
  <c r="R179" i="43"/>
  <c r="L8" i="58" s="1"/>
  <c r="U180" i="43"/>
  <c r="N9" i="58" s="1"/>
  <c r="T175" i="43"/>
  <c r="G9" i="58" s="1"/>
  <c r="U178" i="43"/>
  <c r="K9" i="58" s="1"/>
  <c r="R178" i="43"/>
  <c r="K8" i="58" s="1"/>
  <c r="M8" i="58" s="1"/>
  <c r="O8" i="58" s="1"/>
  <c r="AA180" i="43"/>
  <c r="N11" i="58" s="1"/>
  <c r="U179" i="43"/>
  <c r="L9" i="58" s="1"/>
  <c r="H175" i="43"/>
  <c r="G5" i="58" s="1"/>
  <c r="F178" i="43"/>
  <c r="K4" i="58" s="1"/>
  <c r="F179" i="43"/>
  <c r="L4" i="58" s="1"/>
  <c r="F180" i="43"/>
  <c r="N4" i="58" s="1"/>
  <c r="N175" i="43"/>
  <c r="G7" i="58" s="1"/>
  <c r="I180" i="43"/>
  <c r="N5" i="58" s="1"/>
  <c r="E174" i="43"/>
  <c r="F4" i="58" s="1"/>
  <c r="I178" i="43"/>
  <c r="K5" i="58" s="1"/>
  <c r="M5" i="58" s="1"/>
  <c r="O5" i="58" s="1"/>
  <c r="E175" i="43"/>
  <c r="G4" i="58" s="1"/>
  <c r="O178" i="43"/>
  <c r="K7" i="58" s="1"/>
  <c r="K174" i="43"/>
  <c r="F6" i="58" s="1"/>
  <c r="H174" i="43"/>
  <c r="F5" i="58" s="1"/>
  <c r="O180" i="43"/>
  <c r="N7" i="58" s="1"/>
  <c r="K175" i="43"/>
  <c r="G6" i="58" s="1"/>
  <c r="L180" i="43"/>
  <c r="N6" i="58" s="1"/>
  <c r="O179" i="43"/>
  <c r="L7" i="58" s="1"/>
  <c r="M7" i="58" s="1"/>
  <c r="O7" i="58" s="1"/>
  <c r="L178" i="43"/>
  <c r="K6" i="58" s="1"/>
  <c r="I179" i="43"/>
  <c r="L5" i="58" s="1"/>
  <c r="L179" i="43"/>
  <c r="L6" i="58" s="1"/>
  <c r="N174" i="43"/>
  <c r="F7" i="58" s="1"/>
  <c r="AD179" i="43"/>
  <c r="L12" i="58" s="1"/>
  <c r="AJ179" i="43"/>
  <c r="L14" i="58" s="1"/>
  <c r="AM180" i="43"/>
  <c r="N15" i="58" s="1"/>
  <c r="AL175" i="43"/>
  <c r="AD178" i="43"/>
  <c r="K12" i="58" s="1"/>
  <c r="M12" i="58" s="1"/>
  <c r="O12" i="58" s="1"/>
  <c r="AL174" i="43"/>
  <c r="F15" i="58" s="1"/>
  <c r="AD180" i="43"/>
  <c r="N12" i="58" s="1"/>
  <c r="AG180" i="43"/>
  <c r="N13" i="58" s="1"/>
  <c r="AJ178" i="43"/>
  <c r="K14" i="58" s="1"/>
  <c r="AS178" i="43"/>
  <c r="AG178" i="43"/>
  <c r="K13" i="58" s="1"/>
  <c r="AS179" i="43"/>
  <c r="AM178" i="43"/>
  <c r="K15" i="58" s="1"/>
  <c r="AP178" i="43"/>
  <c r="AP179" i="43"/>
  <c r="AJ180" i="43"/>
  <c r="N14" i="58" s="1"/>
  <c r="AM179" i="43"/>
  <c r="L15" i="58" s="1"/>
  <c r="AG179" i="43"/>
  <c r="L13" i="58" s="1"/>
  <c r="AR175" i="43"/>
  <c r="G17" i="58" s="1"/>
  <c r="AO175" i="43"/>
  <c r="G16" i="58" s="1"/>
  <c r="AO174" i="43"/>
  <c r="F16" i="58" s="1"/>
  <c r="AR174" i="43"/>
  <c r="F17" i="58" s="1"/>
  <c r="AI175" i="43"/>
  <c r="G14" i="58" s="1"/>
  <c r="AF174" i="43"/>
  <c r="F13" i="58" s="1"/>
  <c r="AC175" i="43"/>
  <c r="G12" i="58" s="1"/>
  <c r="AC174" i="43"/>
  <c r="F12" i="58" s="1"/>
  <c r="AI174" i="43"/>
  <c r="F14" i="58" s="1"/>
  <c r="AF175" i="43"/>
  <c r="G13" i="58" s="1"/>
  <c r="G15" i="58"/>
  <c r="B5" i="6"/>
  <c r="B3" i="6" s="1"/>
  <c r="C7" i="6" s="1"/>
  <c r="I13" i="6"/>
  <c r="I15" i="6" s="1"/>
  <c r="I17" i="6" s="1"/>
  <c r="AJ10" i="1"/>
  <c r="C144" i="9" s="1"/>
  <c r="AJ8" i="1"/>
  <c r="C89" i="9" s="1"/>
  <c r="AJ6" i="1"/>
  <c r="C27" i="9" s="1"/>
  <c r="AJ9" i="1"/>
  <c r="C138" i="9" s="1"/>
  <c r="AJ7" i="1"/>
  <c r="C44" i="9" s="1"/>
  <c r="AK10" i="1"/>
  <c r="D144" i="9" s="1"/>
  <c r="AK8" i="1"/>
  <c r="D89" i="9" s="1"/>
  <c r="AK7" i="1"/>
  <c r="D44" i="9" s="1"/>
  <c r="AK6" i="1"/>
  <c r="D27" i="9" s="1"/>
  <c r="AK9" i="1"/>
  <c r="D138" i="9" s="1"/>
  <c r="M4" i="58" l="1"/>
  <c r="O4" i="58" s="1"/>
  <c r="M9" i="58"/>
  <c r="O9" i="58" s="1"/>
  <c r="M13" i="58"/>
  <c r="O13" i="58" s="1"/>
  <c r="M10" i="58"/>
  <c r="O10" i="58" s="1"/>
  <c r="M14" i="58"/>
  <c r="O14" i="58" s="1"/>
  <c r="M6" i="58"/>
  <c r="O6" i="58" s="1"/>
  <c r="C170" i="50"/>
  <c r="C170" i="45"/>
  <c r="B170" i="50"/>
  <c r="C170" i="54"/>
  <c r="B170" i="48"/>
  <c r="B170" i="54"/>
  <c r="B170" i="46"/>
  <c r="C170" i="53"/>
  <c r="C170" i="49"/>
  <c r="C170" i="46"/>
  <c r="B170" i="49"/>
  <c r="B170" i="45"/>
  <c r="C170" i="60"/>
  <c r="B170" i="53"/>
  <c r="B170" i="60"/>
  <c r="C170" i="52"/>
  <c r="C170" i="48"/>
  <c r="C170" i="44"/>
  <c r="B170" i="44"/>
  <c r="C170" i="59"/>
  <c r="B170" i="52"/>
  <c r="B170" i="59"/>
  <c r="C170" i="51"/>
  <c r="C170" i="47"/>
  <c r="B170" i="51"/>
  <c r="B170" i="47"/>
  <c r="I17" i="58"/>
  <c r="J17" i="58" s="1"/>
  <c r="I16" i="58"/>
  <c r="J16" i="58" s="1"/>
  <c r="M15" i="58"/>
  <c r="O15" i="58" s="1"/>
  <c r="I15" i="58"/>
  <c r="J15" i="58" s="1"/>
  <c r="I14" i="58"/>
  <c r="J14" i="58" s="1"/>
  <c r="I13" i="58"/>
  <c r="J13" i="58" s="1"/>
  <c r="E71" i="6"/>
  <c r="F71" i="6" s="1"/>
  <c r="E122" i="6"/>
  <c r="F122" i="6" s="1"/>
  <c r="E87" i="6"/>
  <c r="F87" i="6" s="1"/>
  <c r="E63" i="6"/>
  <c r="F63" i="6" s="1"/>
  <c r="E38" i="6"/>
  <c r="F38" i="6" s="1"/>
  <c r="E132" i="6"/>
  <c r="F132" i="6" s="1"/>
  <c r="E158" i="6"/>
  <c r="F158" i="6" s="1"/>
  <c r="E55" i="6"/>
  <c r="F55" i="6" s="1"/>
  <c r="E136" i="6"/>
  <c r="F136" i="6" s="1"/>
  <c r="E83" i="6"/>
  <c r="F83" i="6" s="1"/>
  <c r="E33" i="6"/>
  <c r="F33" i="6" s="1"/>
  <c r="E88" i="6"/>
  <c r="F88" i="6" s="1"/>
  <c r="E135" i="6"/>
  <c r="F135" i="6" s="1"/>
  <c r="E141" i="6"/>
  <c r="F141" i="6" s="1"/>
  <c r="E121" i="6"/>
  <c r="F121" i="6" s="1"/>
  <c r="E85" i="6"/>
  <c r="F85" i="6" s="1"/>
  <c r="E61" i="6"/>
  <c r="F61" i="6" s="1"/>
  <c r="E29" i="6"/>
  <c r="F29" i="6" s="1"/>
  <c r="E24" i="6"/>
  <c r="F24" i="6" s="1"/>
  <c r="E17" i="6"/>
  <c r="F17" i="6" s="1"/>
  <c r="E54" i="6"/>
  <c r="F54" i="6" s="1"/>
  <c r="E86" i="6"/>
  <c r="F86" i="6" s="1"/>
  <c r="E151" i="6"/>
  <c r="F151" i="6" s="1"/>
  <c r="E34" i="6"/>
  <c r="F34" i="6" s="1"/>
  <c r="E37" i="6"/>
  <c r="F37" i="6" s="1"/>
  <c r="E113" i="6"/>
  <c r="F113" i="6" s="1"/>
  <c r="E129" i="6"/>
  <c r="F129" i="6" s="1"/>
  <c r="E146" i="6"/>
  <c r="F146" i="6" s="1"/>
  <c r="E155" i="6"/>
  <c r="F155" i="6" s="1"/>
  <c r="E81" i="6"/>
  <c r="F81" i="6" s="1"/>
  <c r="E112" i="6"/>
  <c r="F112" i="6" s="1"/>
  <c r="E96" i="6"/>
  <c r="F96" i="6" s="1"/>
  <c r="E12" i="6"/>
  <c r="F12" i="6" s="1"/>
  <c r="E137" i="6"/>
  <c r="F137" i="6" s="1"/>
  <c r="E35" i="6"/>
  <c r="F35" i="6" s="1"/>
  <c r="E53" i="6"/>
  <c r="F53" i="6" s="1"/>
  <c r="E27" i="6"/>
  <c r="F27" i="6" s="1"/>
  <c r="E106" i="6"/>
  <c r="F106" i="6" s="1"/>
  <c r="E98" i="6"/>
  <c r="F98" i="6" s="1"/>
  <c r="E10" i="6"/>
  <c r="F10" i="6" s="1"/>
  <c r="E84" i="6"/>
  <c r="F84" i="6" s="1"/>
  <c r="E92" i="6"/>
  <c r="F92" i="6" s="1"/>
  <c r="E32" i="6"/>
  <c r="F32" i="6" s="1"/>
  <c r="E28" i="6"/>
  <c r="F28" i="6" s="1"/>
  <c r="E145" i="6"/>
  <c r="F145" i="6" s="1"/>
  <c r="E66" i="6"/>
  <c r="F66" i="6" s="1"/>
  <c r="E44" i="6"/>
  <c r="F44" i="6" s="1"/>
  <c r="E99" i="6"/>
  <c r="F99" i="6" s="1"/>
  <c r="E157" i="6"/>
  <c r="F157" i="6" s="1"/>
  <c r="E89" i="6"/>
  <c r="F89" i="6" s="1"/>
  <c r="E56" i="6"/>
  <c r="F56" i="6" s="1"/>
  <c r="E156" i="6"/>
  <c r="F156" i="6" s="1"/>
  <c r="E140" i="6"/>
  <c r="F140" i="6" s="1"/>
  <c r="E13" i="6"/>
  <c r="F13" i="6" s="1"/>
  <c r="E95" i="6"/>
  <c r="F95" i="6" s="1"/>
  <c r="E11" i="6"/>
  <c r="F11" i="6" s="1"/>
  <c r="E16" i="6"/>
  <c r="F16" i="6" s="1"/>
  <c r="E69" i="6"/>
  <c r="F69" i="6" s="1"/>
  <c r="E120" i="6"/>
  <c r="F120" i="6" s="1"/>
  <c r="E15" i="6"/>
  <c r="F15" i="6" s="1"/>
  <c r="E143" i="6"/>
  <c r="F143" i="6" s="1"/>
  <c r="E48" i="6"/>
  <c r="F48" i="6" s="1"/>
  <c r="E31" i="6"/>
  <c r="F31" i="6" s="1"/>
  <c r="E107" i="6"/>
  <c r="F107" i="6" s="1"/>
  <c r="E103" i="6"/>
  <c r="F103" i="6" s="1"/>
  <c r="E139" i="6"/>
  <c r="F139" i="6" s="1"/>
  <c r="E109" i="6"/>
  <c r="F109" i="6" s="1"/>
  <c r="E23" i="6"/>
  <c r="F23" i="6" s="1"/>
  <c r="E105" i="6"/>
  <c r="F105" i="6" s="1"/>
  <c r="E154" i="6"/>
  <c r="F154" i="6" s="1"/>
  <c r="E118" i="6"/>
  <c r="F118" i="6" s="1"/>
  <c r="E160" i="6"/>
  <c r="F160" i="6" s="1"/>
  <c r="E36" i="6"/>
  <c r="F36" i="6" s="1"/>
  <c r="E70" i="6"/>
  <c r="F70" i="6" s="1"/>
  <c r="E51" i="6"/>
  <c r="F51" i="6" s="1"/>
  <c r="E30" i="6"/>
  <c r="F30" i="6" s="1"/>
  <c r="E22" i="6"/>
  <c r="F22" i="6" s="1"/>
  <c r="E18" i="6"/>
  <c r="F18" i="6" s="1"/>
  <c r="E138" i="6"/>
  <c r="F138" i="6" s="1"/>
  <c r="E101" i="6"/>
  <c r="F101" i="6" s="1"/>
  <c r="E40" i="6"/>
  <c r="F40" i="6" s="1"/>
  <c r="E59" i="6"/>
  <c r="F59" i="6" s="1"/>
  <c r="E50" i="6"/>
  <c r="F50" i="6" s="1"/>
  <c r="E68" i="6"/>
  <c r="F68" i="6" s="1"/>
  <c r="E110" i="6"/>
  <c r="F110" i="6" s="1"/>
  <c r="E115" i="6"/>
  <c r="F115" i="6" s="1"/>
  <c r="E45" i="6"/>
  <c r="F45" i="6" s="1"/>
  <c r="E159" i="6"/>
  <c r="F159" i="6" s="1"/>
  <c r="E153" i="6"/>
  <c r="F153" i="6" s="1"/>
  <c r="E21" i="6"/>
  <c r="F21" i="6" s="1"/>
  <c r="E147" i="6"/>
  <c r="F147" i="6" s="1"/>
  <c r="E93" i="6"/>
  <c r="F93" i="6" s="1"/>
  <c r="E64" i="6"/>
  <c r="F64" i="6" s="1"/>
  <c r="E124" i="6"/>
  <c r="F124" i="6" s="1"/>
  <c r="E126" i="6"/>
  <c r="F126" i="6" s="1"/>
  <c r="E47" i="6"/>
  <c r="F47" i="6" s="1"/>
  <c r="E78" i="6"/>
  <c r="F78" i="6" s="1"/>
  <c r="E104" i="6"/>
  <c r="F104" i="6" s="1"/>
  <c r="E25" i="6"/>
  <c r="F25" i="6" s="1"/>
  <c r="E67" i="6"/>
  <c r="F67" i="6" s="1"/>
  <c r="E108" i="6"/>
  <c r="F108" i="6" s="1"/>
  <c r="E90" i="6"/>
  <c r="F90" i="6" s="1"/>
  <c r="E58" i="6"/>
  <c r="F58" i="6" s="1"/>
  <c r="E72" i="6"/>
  <c r="F72" i="6" s="1"/>
  <c r="E114" i="6"/>
  <c r="F114" i="6" s="1"/>
  <c r="E19" i="6"/>
  <c r="F19" i="6" s="1"/>
  <c r="E97" i="6"/>
  <c r="F97" i="6" s="1"/>
  <c r="E41" i="6"/>
  <c r="F41" i="6" s="1"/>
  <c r="E9" i="6"/>
  <c r="F9" i="6" s="1"/>
  <c r="E77" i="6"/>
  <c r="F77" i="6" s="1"/>
  <c r="E131" i="6"/>
  <c r="F131" i="6" s="1"/>
  <c r="E74" i="6"/>
  <c r="F74" i="6" s="1"/>
  <c r="E102" i="6"/>
  <c r="F102" i="6" s="1"/>
  <c r="E100" i="6"/>
  <c r="F100" i="6" s="1"/>
  <c r="E75" i="6"/>
  <c r="F75" i="6" s="1"/>
  <c r="E82" i="6"/>
  <c r="F82" i="6" s="1"/>
  <c r="E79" i="6"/>
  <c r="F79" i="6" s="1"/>
  <c r="E43" i="6"/>
  <c r="F43" i="6" s="1"/>
  <c r="E62" i="6"/>
  <c r="F62" i="6" s="1"/>
  <c r="E80" i="6"/>
  <c r="F80" i="6" s="1"/>
  <c r="E152" i="6"/>
  <c r="F152" i="6" s="1"/>
  <c r="E125" i="6"/>
  <c r="F125" i="6" s="1"/>
  <c r="E65" i="6"/>
  <c r="F65" i="6" s="1"/>
  <c r="E46" i="6"/>
  <c r="F46" i="6" s="1"/>
  <c r="E39" i="6"/>
  <c r="F39" i="6" s="1"/>
  <c r="E117" i="6"/>
  <c r="F117" i="6" s="1"/>
  <c r="E128" i="6"/>
  <c r="F128" i="6" s="1"/>
  <c r="E123" i="6"/>
  <c r="F123" i="6" s="1"/>
  <c r="E111" i="6"/>
  <c r="F111" i="6" s="1"/>
  <c r="E144" i="6"/>
  <c r="F144" i="6" s="1"/>
  <c r="E149" i="6"/>
  <c r="F149" i="6" s="1"/>
  <c r="E57" i="6"/>
  <c r="F57" i="6" s="1"/>
  <c r="E52" i="6"/>
  <c r="F52" i="6" s="1"/>
  <c r="E42" i="6"/>
  <c r="F42" i="6" s="1"/>
  <c r="E60" i="6"/>
  <c r="F60" i="6" s="1"/>
  <c r="E26" i="6"/>
  <c r="F26" i="6" s="1"/>
  <c r="E116" i="6"/>
  <c r="F116" i="6" s="1"/>
  <c r="E130" i="6"/>
  <c r="F130" i="6" s="1"/>
  <c r="E133" i="6"/>
  <c r="F133" i="6" s="1"/>
  <c r="E142" i="6"/>
  <c r="F142" i="6" s="1"/>
  <c r="E127" i="6"/>
  <c r="F127" i="6" s="1"/>
  <c r="E73" i="6"/>
  <c r="F73" i="6" s="1"/>
  <c r="E49" i="6"/>
  <c r="F49" i="6" s="1"/>
  <c r="E14" i="6"/>
  <c r="F14" i="6" s="1"/>
  <c r="E150" i="6"/>
  <c r="F150" i="6" s="1"/>
  <c r="E94" i="6"/>
  <c r="F94" i="6" s="1"/>
  <c r="E76" i="6"/>
  <c r="F76" i="6" s="1"/>
  <c r="E20" i="6"/>
  <c r="F20" i="6" s="1"/>
  <c r="E119" i="6"/>
  <c r="F119" i="6" s="1"/>
  <c r="E148" i="6"/>
  <c r="F148" i="6" s="1"/>
  <c r="E91" i="6"/>
  <c r="F91" i="6" s="1"/>
  <c r="E134" i="6"/>
  <c r="F134" i="6" s="1"/>
  <c r="C170" i="16"/>
  <c r="B170" i="16"/>
  <c r="P16" i="58" l="1"/>
  <c r="P15" i="58"/>
  <c r="Q16" i="58"/>
  <c r="I9" i="6"/>
  <c r="I10" i="6" s="1"/>
</calcChain>
</file>

<file path=xl/sharedStrings.xml><?xml version="1.0" encoding="utf-8"?>
<sst xmlns="http://schemas.openxmlformats.org/spreadsheetml/2006/main" count="5776" uniqueCount="444">
  <si>
    <t>C</t>
  </si>
  <si>
    <t>H</t>
  </si>
  <si>
    <t>N</t>
  </si>
  <si>
    <t>O</t>
  </si>
  <si>
    <t>P</t>
  </si>
  <si>
    <t>S</t>
  </si>
  <si>
    <t>metal (X)</t>
  </si>
  <si>
    <t>charge (-)</t>
  </si>
  <si>
    <t>weight 1 Cmol (g/mol)</t>
  </si>
  <si>
    <t>Molar weight</t>
  </si>
  <si>
    <t>Carbohydrates</t>
  </si>
  <si>
    <t>DNA</t>
  </si>
  <si>
    <t>Lipid</t>
  </si>
  <si>
    <t>Protein</t>
  </si>
  <si>
    <t>RNA</t>
  </si>
  <si>
    <t>Cx</t>
  </si>
  <si>
    <t>Cs,in</t>
  </si>
  <si>
    <t>assumed 0.5 wt-%</t>
  </si>
  <si>
    <t>gMMi/gX</t>
  </si>
  <si>
    <t>= wt fraction</t>
  </si>
  <si>
    <t>CmolMMi/gX</t>
  </si>
  <si>
    <r>
      <t xml:space="preserve">mol </t>
    </r>
    <r>
      <rPr>
        <b/>
        <sz val="11"/>
        <color theme="1"/>
        <rFont val="Courier New"/>
        <family val="3"/>
      </rPr>
      <t>C</t>
    </r>
    <r>
      <rPr>
        <sz val="11"/>
        <color theme="1"/>
        <rFont val="Courier New"/>
        <family val="3"/>
      </rPr>
      <t>/CmolMMi/gX</t>
    </r>
  </si>
  <si>
    <r>
      <t xml:space="preserve">mol </t>
    </r>
    <r>
      <rPr>
        <b/>
        <sz val="11"/>
        <color theme="1"/>
        <rFont val="Courier New"/>
        <family val="3"/>
      </rPr>
      <t>H</t>
    </r>
    <r>
      <rPr>
        <sz val="11"/>
        <color theme="1"/>
        <rFont val="Courier New"/>
        <family val="3"/>
      </rPr>
      <t>/CmolMMi/gX</t>
    </r>
  </si>
  <si>
    <r>
      <t xml:space="preserve">mol </t>
    </r>
    <r>
      <rPr>
        <b/>
        <sz val="11"/>
        <color theme="1"/>
        <rFont val="Courier New"/>
        <family val="3"/>
      </rPr>
      <t>N</t>
    </r>
    <r>
      <rPr>
        <sz val="11"/>
        <color theme="1"/>
        <rFont val="Courier New"/>
        <family val="3"/>
      </rPr>
      <t>/CmolMMi/gX</t>
    </r>
  </si>
  <si>
    <r>
      <t xml:space="preserve">mol </t>
    </r>
    <r>
      <rPr>
        <b/>
        <sz val="11"/>
        <color theme="1"/>
        <rFont val="Courier New"/>
        <family val="3"/>
      </rPr>
      <t>O</t>
    </r>
    <r>
      <rPr>
        <sz val="11"/>
        <color theme="1"/>
        <rFont val="Courier New"/>
        <family val="3"/>
      </rPr>
      <t>/CmolMMi/gX</t>
    </r>
  </si>
  <si>
    <r>
      <t xml:space="preserve">mol </t>
    </r>
    <r>
      <rPr>
        <b/>
        <sz val="11"/>
        <color theme="1"/>
        <rFont val="Courier New"/>
        <family val="3"/>
      </rPr>
      <t>P</t>
    </r>
    <r>
      <rPr>
        <sz val="11"/>
        <color theme="1"/>
        <rFont val="Courier New"/>
        <family val="3"/>
      </rPr>
      <t>/CmolMMi/gX</t>
    </r>
  </si>
  <si>
    <r>
      <t xml:space="preserve">mol </t>
    </r>
    <r>
      <rPr>
        <b/>
        <sz val="11"/>
        <color theme="1"/>
        <rFont val="Courier New"/>
        <family val="3"/>
      </rPr>
      <t>S</t>
    </r>
    <r>
      <rPr>
        <sz val="11"/>
        <color theme="1"/>
        <rFont val="Courier New"/>
        <family val="3"/>
      </rPr>
      <t>/CmolMMi/gX</t>
    </r>
  </si>
  <si>
    <t>D</t>
  </si>
  <si>
    <t>L</t>
  </si>
  <si>
    <t>R</t>
  </si>
  <si>
    <t>sum</t>
  </si>
  <si>
    <t>mol C/gX</t>
  </si>
  <si>
    <t>mol S/gX</t>
  </si>
  <si>
    <t>mol P/gX</t>
  </si>
  <si>
    <t>mol O/gX</t>
  </si>
  <si>
    <t>mol N/gX</t>
  </si>
  <si>
    <t>mol H/gX</t>
  </si>
  <si>
    <t>g/Cmol</t>
  </si>
  <si>
    <t>Cmol MMi/CmolX</t>
  </si>
  <si>
    <t>ADPc&lt;-&gt;ATPm</t>
  </si>
  <si>
    <t>c13PG kin</t>
  </si>
  <si>
    <t>c3PG mut</t>
  </si>
  <si>
    <t>cA kin</t>
  </si>
  <si>
    <t>cACCoA carb</t>
  </si>
  <si>
    <t>cACCoA syn</t>
  </si>
  <si>
    <t>cACTAL deh (NAD)</t>
  </si>
  <si>
    <t>cAICAR syn</t>
  </si>
  <si>
    <t>cALA N-trans</t>
  </si>
  <si>
    <t>cAMP kin</t>
  </si>
  <si>
    <t>cAMP syn</t>
  </si>
  <si>
    <t>cARG syn</t>
  </si>
  <si>
    <t>cASN syn</t>
  </si>
  <si>
    <t>cASP kin</t>
  </si>
  <si>
    <t>cASP N-trans</t>
  </si>
  <si>
    <t>cAvAA form</t>
  </si>
  <si>
    <t>cAvFA form</t>
  </si>
  <si>
    <t>cAvPL form</t>
  </si>
  <si>
    <t>cCARBHYD syn</t>
  </si>
  <si>
    <t>cCARP syn</t>
  </si>
  <si>
    <t>cCDP kin</t>
  </si>
  <si>
    <t>cCMP kin</t>
  </si>
  <si>
    <t>cCO2&lt;-mCO2</t>
  </si>
  <si>
    <t>cCTP syn</t>
  </si>
  <si>
    <t>cCYS syn</t>
  </si>
  <si>
    <t>cDHF red</t>
  </si>
  <si>
    <t>cDNA poly</t>
  </si>
  <si>
    <t>cEnol</t>
  </si>
  <si>
    <t>cF16P ald</t>
  </si>
  <si>
    <t>cFAT form</t>
  </si>
  <si>
    <t>cFUM hy</t>
  </si>
  <si>
    <t>cG6P deh</t>
  </si>
  <si>
    <t>cG6P iso</t>
  </si>
  <si>
    <t>cGAP deh</t>
  </si>
  <si>
    <t>cGDP kin</t>
  </si>
  <si>
    <t>cGLM deh</t>
  </si>
  <si>
    <t>cGLM N-lig</t>
  </si>
  <si>
    <t>cGLY transf</t>
  </si>
  <si>
    <t>cGMP kin</t>
  </si>
  <si>
    <t>cGMP syn</t>
  </si>
  <si>
    <t>cGOH3P deh</t>
  </si>
  <si>
    <t>cGOH3P trans</t>
  </si>
  <si>
    <t>cH2O&lt;-mH2O</t>
  </si>
  <si>
    <t>cHCIT syn</t>
  </si>
  <si>
    <t>cHCYS syn</t>
  </si>
  <si>
    <t>cHIS syn</t>
  </si>
  <si>
    <t>cIMP syn</t>
  </si>
  <si>
    <t>cIPM syn</t>
  </si>
  <si>
    <t>cLEU N-trans</t>
  </si>
  <si>
    <t>cLipid form</t>
  </si>
  <si>
    <t>cLYS syn</t>
  </si>
  <si>
    <t>cMAL deh</t>
  </si>
  <si>
    <t>cMET Atrans</t>
  </si>
  <si>
    <t>cMET syn</t>
  </si>
  <si>
    <t>cMETHF deh</t>
  </si>
  <si>
    <t>cMETHF red</t>
  </si>
  <si>
    <t>cO2-&gt;mO2</t>
  </si>
  <si>
    <t>cPHD-C trans</t>
  </si>
  <si>
    <t>cPHD-EA mtrans</t>
  </si>
  <si>
    <t>cPHD-SER dcarb</t>
  </si>
  <si>
    <t>cPHD-SER syn</t>
  </si>
  <si>
    <t>cPHE syn</t>
  </si>
  <si>
    <t>cPLM desat</t>
  </si>
  <si>
    <t>cPLM lig</t>
  </si>
  <si>
    <t>cPLM syn</t>
  </si>
  <si>
    <t>cPPi ase</t>
  </si>
  <si>
    <t>cPRO deh</t>
  </si>
  <si>
    <t>cPROT poly</t>
  </si>
  <si>
    <t>cPRPP syn</t>
  </si>
  <si>
    <t>cPYR kin</t>
  </si>
  <si>
    <t>cRIBU iso</t>
  </si>
  <si>
    <t>cRIBUP epi</t>
  </si>
  <si>
    <t>cRNA syn</t>
  </si>
  <si>
    <t>cSAH hyd</t>
  </si>
  <si>
    <t>cSER syn</t>
  </si>
  <si>
    <t>cSHI path</t>
  </si>
  <si>
    <t>cSO4 ass</t>
  </si>
  <si>
    <t>cSTE desat</t>
  </si>
  <si>
    <t>cSTE ligase</t>
  </si>
  <si>
    <t>cSTE syn</t>
  </si>
  <si>
    <t>cTA1</t>
  </si>
  <si>
    <t>cTHR ald</t>
  </si>
  <si>
    <t>cTHR syn</t>
  </si>
  <si>
    <t>cTK1</t>
  </si>
  <si>
    <t>cTK2</t>
  </si>
  <si>
    <t>cTP iso</t>
  </si>
  <si>
    <t>cTRP syn</t>
  </si>
  <si>
    <t>cTYR syn</t>
  </si>
  <si>
    <t>cUDP kin</t>
  </si>
  <si>
    <t>cUMP kin</t>
  </si>
  <si>
    <t>cUMP syn</t>
  </si>
  <si>
    <t>cVAL N-trans</t>
  </si>
  <si>
    <t>eATPase</t>
  </si>
  <si>
    <t>eCO2&lt;-cCO2</t>
  </si>
  <si>
    <t>eH2O&lt;-cH2O</t>
  </si>
  <si>
    <t>eMET imp</t>
  </si>
  <si>
    <t>eNH4 trans</t>
  </si>
  <si>
    <t>eO2-&gt;cO2</t>
  </si>
  <si>
    <t>ePi trans</t>
  </si>
  <si>
    <t>eSO4 trans</t>
  </si>
  <si>
    <t>HCITm car</t>
  </si>
  <si>
    <t>ILEm car</t>
  </si>
  <si>
    <t>mACON 1</t>
  </si>
  <si>
    <t>mACON 2</t>
  </si>
  <si>
    <t>mATPase</t>
  </si>
  <si>
    <t>mQH2 deh</t>
  </si>
  <si>
    <t>mFUM hy</t>
  </si>
  <si>
    <t>mICIT deh_NAD</t>
  </si>
  <si>
    <t>mICIT deh_NADP</t>
  </si>
  <si>
    <t>mILE N-trans</t>
  </si>
  <si>
    <t>mMAL deh</t>
  </si>
  <si>
    <t>mNADH deh</t>
  </si>
  <si>
    <t>mOAD syn</t>
  </si>
  <si>
    <t>mOGL deh</t>
  </si>
  <si>
    <t>mOIV syn</t>
  </si>
  <si>
    <t>mORN syn</t>
  </si>
  <si>
    <t>mSUC deh</t>
  </si>
  <si>
    <t>mSUCCoA syn</t>
  </si>
  <si>
    <t>mTHR deh</t>
  </si>
  <si>
    <t>mVAL N-trans</t>
  </si>
  <si>
    <t>NH4m car</t>
  </si>
  <si>
    <t>OBUm car</t>
  </si>
  <si>
    <t>ODC1m car</t>
  </si>
  <si>
    <t>ODC2m car</t>
  </si>
  <si>
    <t>OIVm car</t>
  </si>
  <si>
    <t>ORNm car</t>
  </si>
  <si>
    <t>OXACTm ex</t>
  </si>
  <si>
    <t>Pi_m car</t>
  </si>
  <si>
    <t>PYRm car</t>
  </si>
  <si>
    <t>THRm car</t>
  </si>
  <si>
    <t>VALm imp</t>
  </si>
  <si>
    <t>H:ext</t>
  </si>
  <si>
    <t>H2O:ext</t>
  </si>
  <si>
    <t>metal:ext</t>
  </si>
  <si>
    <t>NH4:ext</t>
  </si>
  <si>
    <t>Pi:ext</t>
  </si>
  <si>
    <t>SO4:ext</t>
  </si>
  <si>
    <t>O2:ext</t>
  </si>
  <si>
    <t>CO2:ext</t>
  </si>
  <si>
    <t>cMaintenance</t>
  </si>
  <si>
    <t>13PG:cyt</t>
  </si>
  <si>
    <t>2PG:cyt</t>
  </si>
  <si>
    <t>3PG:cyt</t>
  </si>
  <si>
    <t>A:cyt</t>
  </si>
  <si>
    <t>ACCoA:cyt</t>
  </si>
  <si>
    <t>ACO:mit</t>
  </si>
  <si>
    <t>ACT:cyt</t>
  </si>
  <si>
    <t>ACTAL:cyt</t>
  </si>
  <si>
    <t>ADP:cyt</t>
  </si>
  <si>
    <t>ADP:mit</t>
  </si>
  <si>
    <t>AICAR:cyt</t>
  </si>
  <si>
    <t>ALA:cyt</t>
  </si>
  <si>
    <t>AMP:cyt</t>
  </si>
  <si>
    <t>ARG:cyt</t>
  </si>
  <si>
    <t>ASN:cyt</t>
  </si>
  <si>
    <t>ASP:cyt</t>
  </si>
  <si>
    <t>ATP:cyt</t>
  </si>
  <si>
    <t>ATP:mit</t>
  </si>
  <si>
    <t>avAA:cyt</t>
  </si>
  <si>
    <t>avFA-CoA:cyt</t>
  </si>
  <si>
    <t>avPL:cyt</t>
  </si>
  <si>
    <t>CARBHYD:cyt</t>
  </si>
  <si>
    <t>CARP:cyt</t>
  </si>
  <si>
    <t>CDP:cyt</t>
  </si>
  <si>
    <t>CHO:cyt</t>
  </si>
  <si>
    <t>CIT:mit</t>
  </si>
  <si>
    <t>CMP:cyt</t>
  </si>
  <si>
    <t>CMP-DGOH:cyt</t>
  </si>
  <si>
    <t>CO2:cyt</t>
  </si>
  <si>
    <t>CO2:mit</t>
  </si>
  <si>
    <t>CoA:cyt</t>
  </si>
  <si>
    <t>CoA:mit</t>
  </si>
  <si>
    <t>CTP:cyt</t>
  </si>
  <si>
    <t>CYS:cyt</t>
  </si>
  <si>
    <t>DHAP:cyt</t>
  </si>
  <si>
    <t>DHF:cyt</t>
  </si>
  <si>
    <t>DNA:cyt</t>
  </si>
  <si>
    <t>E4P:cyt</t>
  </si>
  <si>
    <t>F16P:cyt</t>
  </si>
  <si>
    <t>F6P:cyt</t>
  </si>
  <si>
    <t>Q:mit</t>
  </si>
  <si>
    <t>QH2:mit</t>
  </si>
  <si>
    <t>FAT:cyt</t>
  </si>
  <si>
    <t>FTHF:cyt</t>
  </si>
  <si>
    <t>FUM:cyt</t>
  </si>
  <si>
    <t>FUM:mit</t>
  </si>
  <si>
    <t>G6P:cyt</t>
  </si>
  <si>
    <t>GAP:cyt</t>
  </si>
  <si>
    <t>GDP:cyt</t>
  </si>
  <si>
    <t>GLM:cyt</t>
  </si>
  <si>
    <t>GLM:mit</t>
  </si>
  <si>
    <t>GLN:cyt</t>
  </si>
  <si>
    <t>GLY:cyt</t>
  </si>
  <si>
    <t>GMP:cyt</t>
  </si>
  <si>
    <t>GOH3P:cyt</t>
  </si>
  <si>
    <t>GTP:cyt</t>
  </si>
  <si>
    <t>H:cyt</t>
  </si>
  <si>
    <t>H:mit</t>
  </si>
  <si>
    <t>H2O:cyt</t>
  </si>
  <si>
    <t>H2O:mit</t>
  </si>
  <si>
    <t>H2S:cyt</t>
  </si>
  <si>
    <t>HCIT:cyt</t>
  </si>
  <si>
    <t>HCIT:mit</t>
  </si>
  <si>
    <t>HCYS:cyt</t>
  </si>
  <si>
    <t>HIS:cyt</t>
  </si>
  <si>
    <t>HSER:cyt</t>
  </si>
  <si>
    <t>ICIT:mit</t>
  </si>
  <si>
    <t>ILE:cyt</t>
  </si>
  <si>
    <t>ILE:mit</t>
  </si>
  <si>
    <t>IMP:cyt</t>
  </si>
  <si>
    <t>IPM:cyt</t>
  </si>
  <si>
    <t>LEU:cyt</t>
  </si>
  <si>
    <t>LIPID:cyt</t>
  </si>
  <si>
    <t>LYS:cyt</t>
  </si>
  <si>
    <t>MACoA:cyt</t>
  </si>
  <si>
    <t>MAL:cyt</t>
  </si>
  <si>
    <t>MAL:mit</t>
  </si>
  <si>
    <t>MET:cyt</t>
  </si>
  <si>
    <t>METHF:cyt</t>
  </si>
  <si>
    <t>MYTHF:cyt</t>
  </si>
  <si>
    <t>NAD:cyt</t>
  </si>
  <si>
    <t>NAD:mit</t>
  </si>
  <si>
    <t>NADH:cyt</t>
  </si>
  <si>
    <t>NADH:mit</t>
  </si>
  <si>
    <t>NADP:cyt</t>
  </si>
  <si>
    <t>NADP:mit</t>
  </si>
  <si>
    <t>NADPH:cyt</t>
  </si>
  <si>
    <t>NADPH:mit</t>
  </si>
  <si>
    <t>NH4:cyt</t>
  </si>
  <si>
    <t>NH4:mit</t>
  </si>
  <si>
    <t>O2:cyt</t>
  </si>
  <si>
    <t>O2:mit</t>
  </si>
  <si>
    <t>OAD:cyt</t>
  </si>
  <si>
    <t>OAD:mit</t>
  </si>
  <si>
    <t>OBU:cyt</t>
  </si>
  <si>
    <t>OBU:mit</t>
  </si>
  <si>
    <t>OGL:cyt</t>
  </si>
  <si>
    <t>OGL:mit</t>
  </si>
  <si>
    <t>OIV:cyt</t>
  </si>
  <si>
    <t>OIV:mit</t>
  </si>
  <si>
    <t>OLE-CoA:cyt</t>
  </si>
  <si>
    <t>ORN:cyt</t>
  </si>
  <si>
    <t>ORN:mit</t>
  </si>
  <si>
    <t>OXACT:cyt</t>
  </si>
  <si>
    <t>OXACT:mit</t>
  </si>
  <si>
    <t>PEP:cyt</t>
  </si>
  <si>
    <t>PHD:cyt</t>
  </si>
  <si>
    <t>PHD-CHO:cyt</t>
  </si>
  <si>
    <t>PHD-ETA:cyt</t>
  </si>
  <si>
    <t>PHD-SER:cyt</t>
  </si>
  <si>
    <t>PHE:cyt</t>
  </si>
  <si>
    <t>Pi:cyt</t>
  </si>
  <si>
    <t>Pi:mit</t>
  </si>
  <si>
    <t>PLLM-CoA:cyt</t>
  </si>
  <si>
    <t>PLM:cyt</t>
  </si>
  <si>
    <t>PLM-CoA:cyt</t>
  </si>
  <si>
    <t>PPi:cyt</t>
  </si>
  <si>
    <t>PRO:cyt</t>
  </si>
  <si>
    <t>PROT:cyt</t>
  </si>
  <si>
    <t>PRPP:cyt</t>
  </si>
  <si>
    <t>PYR:cyt</t>
  </si>
  <si>
    <t>PYR:mit</t>
  </si>
  <si>
    <t>RIB5P:cyt</t>
  </si>
  <si>
    <t>RIBU5P:cyt</t>
  </si>
  <si>
    <t>RNA:cyt</t>
  </si>
  <si>
    <t>SAH:cyt</t>
  </si>
  <si>
    <t>SAM:cyt</t>
  </si>
  <si>
    <t>SED7P:cyt</t>
  </si>
  <si>
    <t>SER:cyt</t>
  </si>
  <si>
    <t>SO4:cyt</t>
  </si>
  <si>
    <t>STE:cyt</t>
  </si>
  <si>
    <t>STE-CoA:cyt</t>
  </si>
  <si>
    <t>SUC:mit</t>
  </si>
  <si>
    <t>SUCCOA:mit</t>
  </si>
  <si>
    <t>THF:cyt</t>
  </si>
  <si>
    <t>THR:cyt</t>
  </si>
  <si>
    <t>THR:mit</t>
  </si>
  <si>
    <t>TRP:cyt</t>
  </si>
  <si>
    <t>TYR:cyt</t>
  </si>
  <si>
    <t>UDP:cyt</t>
  </si>
  <si>
    <t>UMP:cyt</t>
  </si>
  <si>
    <t>UTP:cyt</t>
  </si>
  <si>
    <t>VAL:cyt</t>
  </si>
  <si>
    <t>VAL:mit</t>
  </si>
  <si>
    <t>XYL5P:cyt</t>
  </si>
  <si>
    <t>cACTAL deh (NADP)</t>
  </si>
  <si>
    <t>cCIT syn</t>
  </si>
  <si>
    <t>cETOH deh</t>
  </si>
  <si>
    <t>cF16P phos</t>
  </si>
  <si>
    <t>cICIT lya</t>
  </si>
  <si>
    <t>cMAL syn</t>
  </si>
  <si>
    <t>cNADH deh</t>
  </si>
  <si>
    <t>cPEP ck</t>
  </si>
  <si>
    <t>CTP1m car</t>
  </si>
  <si>
    <t>CTP2m car</t>
  </si>
  <si>
    <t>eETOH trans</t>
  </si>
  <si>
    <t>SFC1m car</t>
  </si>
  <si>
    <t>ETOH:ext</t>
  </si>
  <si>
    <t>CIT:cyt</t>
  </si>
  <si>
    <t>ETOH:cyt</t>
  </si>
  <si>
    <t>GLYO:cyt</t>
  </si>
  <si>
    <t>ICIT:cyt</t>
  </si>
  <si>
    <t>SUC:cyt</t>
  </si>
  <si>
    <t>mATP</t>
  </si>
  <si>
    <t>mmol ATP/Cmol/h</t>
  </si>
  <si>
    <t>mmol ATP/gX/h, published in https://doi.org/10.1186/s12934-016-0501-z</t>
  </si>
  <si>
    <t>MW Cmol</t>
  </si>
  <si>
    <t>Kx</t>
  </si>
  <si>
    <t>mmol/mol/h</t>
  </si>
  <si>
    <t>=</t>
  </si>
  <si>
    <t>Yxs</t>
  </si>
  <si>
    <t>Cmol/mol</t>
  </si>
  <si>
    <t>g/g</t>
  </si>
  <si>
    <t>min</t>
  </si>
  <si>
    <t>max</t>
  </si>
  <si>
    <t>C. jadinii</t>
  </si>
  <si>
    <t>S. cerevisiae</t>
  </si>
  <si>
    <t>mmol/gx/h</t>
  </si>
  <si>
    <t>doi.org/10.1093/femsyr/foae037</t>
  </si>
  <si>
    <t>biom-Sc</t>
  </si>
  <si>
    <t>biom-Cj</t>
  </si>
  <si>
    <t>biom:ext</t>
  </si>
  <si>
    <t>mNADH deh CI</t>
  </si>
  <si>
    <t>mNADH deh ND</t>
  </si>
  <si>
    <t>ACT:ext</t>
  </si>
  <si>
    <t>eACT trans</t>
  </si>
  <si>
    <t>cICIT deh_NADP</t>
  </si>
  <si>
    <t>mETOH deh</t>
  </si>
  <si>
    <t>mACTAL deh (NAD)</t>
  </si>
  <si>
    <t>mACTAL deh (NADP)</t>
  </si>
  <si>
    <t>cETOH -&gt; mETOH</t>
  </si>
  <si>
    <t>cACTAL -&gt; mACTAL</t>
  </si>
  <si>
    <t>cACT -&gt; mACT</t>
  </si>
  <si>
    <t>ACT:mit</t>
  </si>
  <si>
    <t>ACTAL:mit</t>
  </si>
  <si>
    <t>ETOH:mit</t>
  </si>
  <si>
    <t>mCmol</t>
  </si>
  <si>
    <t>mmol EtOH/mol/h</t>
  </si>
  <si>
    <t>biom</t>
  </si>
  <si>
    <t>Fluxnaam</t>
  </si>
  <si>
    <t>Fluxrate</t>
  </si>
  <si>
    <t>YxO2</t>
  </si>
  <si>
    <t>RQ</t>
  </si>
  <si>
    <t>Ethanol</t>
  </si>
  <si>
    <t>g/mol</t>
  </si>
  <si>
    <t>Scenario</t>
  </si>
  <si>
    <t>OACm car</t>
  </si>
  <si>
    <t>biom-Op</t>
  </si>
  <si>
    <t>O. parapolymorpha</t>
  </si>
  <si>
    <t>Molar weights</t>
  </si>
  <si>
    <t>Bounds A</t>
  </si>
  <si>
    <t>Bounds B</t>
  </si>
  <si>
    <t>Bounds C</t>
  </si>
  <si>
    <t>Bounds D</t>
  </si>
  <si>
    <t>Sc, ND, cADH, cALD</t>
  </si>
  <si>
    <t>Sc, mADH, cALD</t>
  </si>
  <si>
    <t>Sc, cADH, mALD</t>
  </si>
  <si>
    <t>Sc, mADH, mALD</t>
  </si>
  <si>
    <t>Bounds E</t>
  </si>
  <si>
    <t>Cj, +CI, cADH, cALD</t>
  </si>
  <si>
    <t>Bounds F</t>
  </si>
  <si>
    <t>Cj, mADH, cALD</t>
  </si>
  <si>
    <t>Bounds G</t>
  </si>
  <si>
    <t>Cj, cADH, mALD</t>
  </si>
  <si>
    <t>Bounds H</t>
  </si>
  <si>
    <t>Cj, mADH, mALD</t>
  </si>
  <si>
    <t>Bounds I</t>
  </si>
  <si>
    <t>Op, (+CI,) cADH, cALD</t>
  </si>
  <si>
    <t>Bounds J</t>
  </si>
  <si>
    <t>Op, (+CI,) mADH, cALD</t>
  </si>
  <si>
    <t>Bounds K</t>
  </si>
  <si>
    <t>Op, (+CI,) cADH, mALD</t>
  </si>
  <si>
    <t>Bounds L</t>
  </si>
  <si>
    <t>Op, (+CI,) mADH, mALD</t>
  </si>
  <si>
    <t>Bounds M</t>
  </si>
  <si>
    <t>Bounds N</t>
  </si>
  <si>
    <t>A</t>
  </si>
  <si>
    <t>B</t>
  </si>
  <si>
    <t>E</t>
  </si>
  <si>
    <t>F</t>
  </si>
  <si>
    <t>G</t>
  </si>
  <si>
    <t>I</t>
  </si>
  <si>
    <t>J</t>
  </si>
  <si>
    <t>K</t>
  </si>
  <si>
    <t>M</t>
  </si>
  <si>
    <t>Species</t>
  </si>
  <si>
    <t>Ndi</t>
  </si>
  <si>
    <t>Ndi + CI</t>
  </si>
  <si>
    <t>ADH</t>
  </si>
  <si>
    <t>ALD</t>
  </si>
  <si>
    <t>c</t>
  </si>
  <si>
    <t>m</t>
  </si>
  <si>
    <t>NAD-ALD</t>
  </si>
  <si>
    <t>NADP-ALD</t>
  </si>
  <si>
    <t>Sum</t>
  </si>
  <si>
    <t>H2O2:cyt</t>
  </si>
  <si>
    <t>H2O2:ext</t>
  </si>
  <si>
    <t>cH2O2 -&gt; eH2O2</t>
  </si>
  <si>
    <t>Op, Ndi, cADH, cALD</t>
  </si>
  <si>
    <t>cAOX</t>
  </si>
  <si>
    <t xml:space="preserve">AOX (c) </t>
  </si>
  <si>
    <t>Op, (+CI), cAOX, cALD</t>
  </si>
  <si>
    <t>mmol/CmolX/h</t>
  </si>
  <si>
    <t>eH2O2 trans</t>
  </si>
  <si>
    <t>Supplemental Material 2: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</si>
</sst>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"/>
    <numFmt numFmtId="167" formatCode="0.000000"/>
    <numFmt numFmtId="168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sz val="11"/>
      <color theme="0" tint="-0.499984740745262"/>
      <name val="Courier New"/>
      <family val="3"/>
    </font>
    <font>
      <b/>
      <sz val="11"/>
      <color theme="1"/>
      <name val="Courier New"/>
      <family val="3"/>
    </font>
    <font>
      <sz val="11"/>
      <color theme="1"/>
      <name val="Calibri"/>
      <family val="2"/>
      <scheme val="minor"/>
    </font>
    <font>
      <i/>
      <sz val="11"/>
      <color theme="1"/>
      <name val="Courier New"/>
      <family val="3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164" fontId="1" fillId="0" borderId="0" xfId="0" applyNumberFormat="1" applyFont="1"/>
    <xf numFmtId="166" fontId="1" fillId="0" borderId="0" xfId="0" applyNumberFormat="1" applyFont="1"/>
    <xf numFmtId="165" fontId="1" fillId="0" borderId="0" xfId="0" applyNumberFormat="1" applyFont="1"/>
    <xf numFmtId="2" fontId="1" fillId="0" borderId="0" xfId="0" applyNumberFormat="1" applyFont="1"/>
    <xf numFmtId="0" fontId="2" fillId="0" borderId="0" xfId="0" applyFont="1"/>
    <xf numFmtId="0" fontId="1" fillId="0" borderId="0" xfId="0" quotePrefix="1" applyFont="1"/>
    <xf numFmtId="0" fontId="1" fillId="0" borderId="0" xfId="0" applyFont="1" applyAlignment="1">
      <alignment horizontal="right"/>
    </xf>
    <xf numFmtId="165" fontId="0" fillId="0" borderId="0" xfId="0" applyNumberFormat="1"/>
    <xf numFmtId="2" fontId="0" fillId="0" borderId="0" xfId="0" applyNumberFormat="1"/>
    <xf numFmtId="0" fontId="0" fillId="0" borderId="0" xfId="0" quotePrefix="1" applyAlignment="1">
      <alignment horizontal="center"/>
    </xf>
    <xf numFmtId="166" fontId="0" fillId="0" borderId="0" xfId="0" applyNumberFormat="1"/>
    <xf numFmtId="1" fontId="0" fillId="0" borderId="0" xfId="0" applyNumberFormat="1"/>
    <xf numFmtId="0" fontId="5" fillId="0" borderId="0" xfId="0" applyFont="1"/>
    <xf numFmtId="0" fontId="6" fillId="0" borderId="0" xfId="2"/>
    <xf numFmtId="167" fontId="0" fillId="0" borderId="0" xfId="0" applyNumberFormat="1"/>
    <xf numFmtId="164" fontId="0" fillId="0" borderId="0" xfId="0" applyNumberFormat="1"/>
    <xf numFmtId="0" fontId="7" fillId="0" borderId="1" xfId="0" applyFont="1" applyBorder="1" applyAlignment="1">
      <alignment horizontal="center" vertical="top"/>
    </xf>
    <xf numFmtId="10" fontId="1" fillId="0" borderId="0" xfId="1" applyNumberFormat="1" applyFont="1"/>
    <xf numFmtId="168" fontId="1" fillId="0" borderId="0" xfId="1" applyNumberFormat="1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2" fontId="0" fillId="0" borderId="0" xfId="0" applyNumberFormat="1"/>
    <xf numFmtId="9" fontId="0" fillId="0" borderId="0" xfId="1" applyFont="1"/>
    <xf numFmtId="9" fontId="0" fillId="0" borderId="0" xfId="1" applyFont="1" applyAlignment="1">
      <alignment horizontal="center"/>
    </xf>
    <xf numFmtId="165" fontId="9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8" fontId="0" fillId="0" borderId="0" xfId="1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9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EBFF"/>
      <color rgb="FFFF33CC"/>
      <color rgb="FFFFCCFF"/>
      <color rgb="FFF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93/femsyr/foae0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7"/>
  <sheetViews>
    <sheetView workbookViewId="0">
      <pane xSplit="1" topLeftCell="B1" activePane="topRight" state="frozen"/>
      <selection pane="topRight" activeCell="C24" sqref="C24"/>
    </sheetView>
  </sheetViews>
  <sheetFormatPr defaultColWidth="9.140625" defaultRowHeight="15" x14ac:dyDescent="0.25"/>
  <cols>
    <col min="1" max="1" width="18.28515625" style="1" bestFit="1" customWidth="1"/>
    <col min="2" max="3" width="9.140625" style="1"/>
    <col min="4" max="4" width="10.28515625" style="1" bestFit="1" customWidth="1"/>
    <col min="5" max="8" width="9.140625" style="1"/>
    <col min="9" max="9" width="14.28515625" style="1" bestFit="1" customWidth="1"/>
    <col min="10" max="13" width="9.140625" style="1"/>
    <col min="14" max="14" width="12.85546875" style="1" bestFit="1" customWidth="1"/>
    <col min="15" max="15" width="12.85546875" style="1" customWidth="1"/>
    <col min="16" max="16" width="12.85546875" style="1" bestFit="1" customWidth="1"/>
    <col min="17" max="17" width="9.140625" style="1"/>
    <col min="18" max="18" width="10.5703125" style="1" customWidth="1"/>
    <col min="19" max="20" width="10.140625" style="1" customWidth="1"/>
    <col min="21" max="21" width="9.140625" style="1"/>
    <col min="22" max="22" width="10.42578125" style="1" customWidth="1"/>
    <col min="23" max="24" width="10" style="1" customWidth="1"/>
    <col min="25" max="25" width="9.140625" style="1"/>
    <col min="26" max="26" width="10.85546875" style="1" customWidth="1"/>
    <col min="27" max="28" width="11.42578125" style="1" customWidth="1"/>
    <col min="29" max="30" width="9.140625" style="1"/>
    <col min="31" max="32" width="10.28515625" style="1" bestFit="1" customWidth="1"/>
    <col min="33" max="34" width="10.28515625" style="1" customWidth="1"/>
    <col min="35" max="35" width="9.140625" style="1"/>
    <col min="36" max="37" width="10.28515625" style="1" bestFit="1" customWidth="1"/>
    <col min="38" max="38" width="11.42578125" style="1" customWidth="1"/>
    <col min="39" max="16384" width="9.140625" style="1"/>
  </cols>
  <sheetData>
    <row r="1" spans="1:38" x14ac:dyDescent="0.25">
      <c r="A1" t="s">
        <v>443</v>
      </c>
    </row>
    <row r="3" spans="1:38" ht="15.75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K3" s="1" t="s">
        <v>8</v>
      </c>
      <c r="N3" s="14" t="s">
        <v>354</v>
      </c>
      <c r="O3" s="14" t="s">
        <v>387</v>
      </c>
      <c r="P3" s="14" t="s">
        <v>355</v>
      </c>
      <c r="R3" s="14" t="s">
        <v>354</v>
      </c>
      <c r="S3" s="14" t="s">
        <v>387</v>
      </c>
      <c r="T3" s="14" t="s">
        <v>355</v>
      </c>
      <c r="V3" s="14" t="s">
        <v>354</v>
      </c>
      <c r="W3" s="14" t="s">
        <v>387</v>
      </c>
      <c r="X3" s="14" t="s">
        <v>355</v>
      </c>
      <c r="Z3" s="14" t="s">
        <v>354</v>
      </c>
      <c r="AA3" s="14" t="s">
        <v>387</v>
      </c>
      <c r="AB3" s="14" t="s">
        <v>355</v>
      </c>
      <c r="AE3" s="14" t="s">
        <v>354</v>
      </c>
      <c r="AF3" s="14" t="s">
        <v>387</v>
      </c>
      <c r="AG3" s="14" t="s">
        <v>355</v>
      </c>
      <c r="AJ3" s="14" t="s">
        <v>354</v>
      </c>
      <c r="AK3" s="14" t="s">
        <v>387</v>
      </c>
      <c r="AL3" s="14" t="s">
        <v>355</v>
      </c>
    </row>
    <row r="4" spans="1:38" x14ac:dyDescent="0.25">
      <c r="A4" s="1" t="s">
        <v>9</v>
      </c>
      <c r="B4" s="1">
        <v>12</v>
      </c>
      <c r="C4" s="1">
        <v>1</v>
      </c>
      <c r="D4" s="1">
        <v>14</v>
      </c>
      <c r="E4" s="1">
        <v>16</v>
      </c>
      <c r="F4" s="1">
        <v>31</v>
      </c>
      <c r="G4" s="1">
        <v>32</v>
      </c>
      <c r="N4" s="15" t="s">
        <v>357</v>
      </c>
      <c r="R4" s="1" t="s">
        <v>18</v>
      </c>
      <c r="S4" s="7" t="s">
        <v>19</v>
      </c>
      <c r="T4" s="7"/>
      <c r="V4" s="1" t="s">
        <v>20</v>
      </c>
      <c r="AE4" s="1" t="s">
        <v>37</v>
      </c>
      <c r="AJ4" s="1" t="s">
        <v>38</v>
      </c>
    </row>
    <row r="5" spans="1:38" ht="15.75" x14ac:dyDescent="0.3">
      <c r="Z5" s="1" t="s">
        <v>21</v>
      </c>
    </row>
    <row r="6" spans="1:38" x14ac:dyDescent="0.25">
      <c r="A6" s="1" t="s">
        <v>10</v>
      </c>
      <c r="B6" s="1">
        <v>1</v>
      </c>
      <c r="C6" s="1">
        <v>1.67</v>
      </c>
      <c r="E6" s="1">
        <v>0.83299999999999996</v>
      </c>
      <c r="K6" s="1">
        <f>B6*$B$4+C6*$C$4+D6*$D$4+E6*$E$4+F6*$F$4+G6*$G$4+H6*$H$4</f>
        <v>26.997999999999998</v>
      </c>
      <c r="N6" s="1">
        <v>0.61299999999999999</v>
      </c>
      <c r="O6" s="4">
        <v>0.87143621331040655</v>
      </c>
      <c r="P6" s="5">
        <v>1.0069048331652972</v>
      </c>
      <c r="R6" s="4">
        <f>N6/N$12</f>
        <v>0.22290909090909092</v>
      </c>
      <c r="S6" s="4">
        <f t="shared" ref="S6:T10" si="0">O6/O$12</f>
        <v>0.34512325279620054</v>
      </c>
      <c r="T6" s="4">
        <f t="shared" si="0"/>
        <v>0.29398681260300652</v>
      </c>
      <c r="V6" s="1">
        <f>R6/$K6</f>
        <v>8.2565038487699433E-3</v>
      </c>
      <c r="W6" s="1">
        <f>S6/$K6</f>
        <v>1.2783289606496799E-2</v>
      </c>
      <c r="X6" s="1">
        <f>T6/$K6</f>
        <v>1.088920707470948E-2</v>
      </c>
      <c r="Z6" s="1">
        <f>V6*$B6</f>
        <v>8.2565038487699433E-3</v>
      </c>
      <c r="AA6" s="1">
        <f>W6*$B6</f>
        <v>1.2783289606496799E-2</v>
      </c>
      <c r="AB6" s="1">
        <f>X6*$B6</f>
        <v>1.088920707470948E-2</v>
      </c>
      <c r="AE6" s="1">
        <f>Z12*$B$4+Z21*$C$4+Z30*$D$4+Z39*$E$4+Z48*$F$4+Z57*$G$4</f>
        <v>23.755299386714061</v>
      </c>
      <c r="AF6" s="1">
        <f>AA12*$B$4+AA21*$C$4+AA30*$D$4+AA39*$E$4+AA48*$F$4+AA57*$G$4</f>
        <v>24.083750959171518</v>
      </c>
      <c r="AG6" s="1">
        <f>AB12*$B$4+AB21*$C$4+AB30*$D$4+AB39*$E$4+AB48*$F$4+AB57*$G$4</f>
        <v>23.654717284928886</v>
      </c>
      <c r="AI6" s="8" t="s">
        <v>0</v>
      </c>
      <c r="AJ6" s="4">
        <f>V6*AE$6</f>
        <v>0.19613572081508693</v>
      </c>
      <c r="AK6" s="4">
        <f>W6*AF$6</f>
        <v>0.30786956332183457</v>
      </c>
      <c r="AL6" s="4">
        <f>X6*AG$6</f>
        <v>0.25758111480930024</v>
      </c>
    </row>
    <row r="7" spans="1:38" x14ac:dyDescent="0.25">
      <c r="A7" s="1" t="s">
        <v>11</v>
      </c>
      <c r="B7" s="1">
        <v>1</v>
      </c>
      <c r="C7" s="1">
        <v>1.26</v>
      </c>
      <c r="D7" s="1">
        <v>0.378</v>
      </c>
      <c r="E7" s="1">
        <v>0.61199999999999999</v>
      </c>
      <c r="F7" s="1">
        <v>0.10199999999999999</v>
      </c>
      <c r="K7" s="1">
        <f t="shared" ref="K7:K10" si="1">B7*$B$4+C7*$C$4+D7*$D$4+E7*$E$4+F7*$F$4+G7*$G$4+H7*$H$4</f>
        <v>31.506</v>
      </c>
      <c r="M7" s="6" t="s">
        <v>17</v>
      </c>
      <c r="N7" s="3">
        <f>N12*0.5/100</f>
        <v>1.375E-2</v>
      </c>
      <c r="O7" s="3">
        <f>O12*0.5/100</f>
        <v>1.2625000000000003E-2</v>
      </c>
      <c r="P7" s="3">
        <f>P12*0.5/100</f>
        <v>1.7124999999999998E-2</v>
      </c>
      <c r="R7" s="4">
        <f t="shared" ref="R7:R10" si="2">N7/N$12</f>
        <v>5.0000000000000001E-3</v>
      </c>
      <c r="S7" s="4">
        <f t="shared" si="0"/>
        <v>5.0000000000000001E-3</v>
      </c>
      <c r="T7" s="4">
        <f t="shared" si="0"/>
        <v>5.0000000000000001E-3</v>
      </c>
      <c r="V7" s="1">
        <f t="shared" ref="V7:V10" si="3">R7/$K7</f>
        <v>1.5869993017203073E-4</v>
      </c>
      <c r="W7" s="1">
        <f t="shared" ref="W7:X10" si="4">S7/$K7</f>
        <v>1.5869993017203073E-4</v>
      </c>
      <c r="X7" s="1">
        <f t="shared" si="4"/>
        <v>1.5869993017203073E-4</v>
      </c>
      <c r="Z7" s="1">
        <f t="shared" ref="Z7:Z10" si="5">V7*$B7</f>
        <v>1.5869993017203073E-4</v>
      </c>
      <c r="AA7" s="1">
        <f t="shared" ref="AA7:AB10" si="6">W7*$B7</f>
        <v>1.5869993017203073E-4</v>
      </c>
      <c r="AB7" s="1">
        <f t="shared" si="6"/>
        <v>1.5869993017203073E-4</v>
      </c>
      <c r="AI7" s="8" t="s">
        <v>27</v>
      </c>
      <c r="AJ7" s="2">
        <f t="shared" ref="AJ7:AJ10" si="7">V7*AE$6</f>
        <v>3.7699643538872058E-3</v>
      </c>
      <c r="AK7" s="2">
        <f t="shared" ref="AK7:AL10" si="8">W7*AF$6</f>
        <v>3.822089595501098E-3</v>
      </c>
      <c r="AL7" s="2">
        <f t="shared" si="8"/>
        <v>3.7540019813573425E-3</v>
      </c>
    </row>
    <row r="8" spans="1:38" x14ac:dyDescent="0.25">
      <c r="A8" s="1" t="s">
        <v>12</v>
      </c>
      <c r="B8" s="1">
        <v>1</v>
      </c>
      <c r="C8" s="1">
        <v>1.87</v>
      </c>
      <c r="D8" s="2">
        <v>9.5300000000000003E-3</v>
      </c>
      <c r="E8" s="1">
        <v>0.14899999999999999</v>
      </c>
      <c r="F8" s="1">
        <v>9.5300000000000003E-3</v>
      </c>
      <c r="K8" s="1">
        <f t="shared" si="1"/>
        <v>16.682849999999998</v>
      </c>
      <c r="N8" s="1">
        <v>0.189</v>
      </c>
      <c r="O8" s="4">
        <v>0.17922192382893545</v>
      </c>
      <c r="P8" s="4">
        <v>0.31399202637073725</v>
      </c>
      <c r="R8" s="4">
        <f t="shared" si="2"/>
        <v>6.8727272727272734E-2</v>
      </c>
      <c r="S8" s="4">
        <f t="shared" si="0"/>
        <v>7.0978979734231853E-2</v>
      </c>
      <c r="T8" s="4">
        <f t="shared" si="0"/>
        <v>9.167650404985031E-2</v>
      </c>
      <c r="V8" s="1">
        <f t="shared" si="3"/>
        <v>4.1196361968891849E-3</v>
      </c>
      <c r="W8" s="1">
        <f t="shared" si="4"/>
        <v>4.2546075601130415E-3</v>
      </c>
      <c r="X8" s="1">
        <f t="shared" si="4"/>
        <v>5.495254351016182E-3</v>
      </c>
      <c r="Z8" s="1">
        <f t="shared" si="5"/>
        <v>4.1196361968891849E-3</v>
      </c>
      <c r="AA8" s="1">
        <f t="shared" si="6"/>
        <v>4.2546075601130415E-3</v>
      </c>
      <c r="AB8" s="1">
        <f t="shared" si="6"/>
        <v>5.495254351016182E-3</v>
      </c>
      <c r="AI8" s="8" t="s">
        <v>28</v>
      </c>
      <c r="AJ8" s="3">
        <f t="shared" si="7"/>
        <v>9.7863191221446696E-2</v>
      </c>
      <c r="AK8" s="4">
        <f t="shared" si="8"/>
        <v>0.10246690890677085</v>
      </c>
      <c r="AL8" s="4">
        <f t="shared" si="8"/>
        <v>0.12998868808206315</v>
      </c>
    </row>
    <row r="9" spans="1:38" x14ac:dyDescent="0.25">
      <c r="A9" s="1" t="s">
        <v>13</v>
      </c>
      <c r="B9" s="1">
        <v>1</v>
      </c>
      <c r="C9" s="1">
        <v>1.58</v>
      </c>
      <c r="D9" s="1">
        <v>0.27500000000000002</v>
      </c>
      <c r="E9" s="1">
        <v>0.318</v>
      </c>
      <c r="G9" s="1">
        <v>2.65E-3</v>
      </c>
      <c r="I9" s="2">
        <v>5.8700000000000002E-3</v>
      </c>
      <c r="K9" s="1">
        <f>B9*$B$4+C9*$C$4+D9*$D$4+E9*$E$4+F9*$F$4+G9*$G$4+H9*$H$4</f>
        <v>22.602800000000002</v>
      </c>
      <c r="N9" s="1">
        <v>1.62</v>
      </c>
      <c r="O9" s="5">
        <v>1.3011548379863209</v>
      </c>
      <c r="P9" s="5">
        <v>1.4581176673567979</v>
      </c>
      <c r="R9" s="4">
        <f t="shared" si="2"/>
        <v>0.58909090909090911</v>
      </c>
      <c r="S9" s="4">
        <f t="shared" si="0"/>
        <v>0.51530884672725574</v>
      </c>
      <c r="T9" s="4">
        <f t="shared" si="0"/>
        <v>0.42572778608957612</v>
      </c>
      <c r="V9" s="1">
        <f t="shared" si="3"/>
        <v>2.6062740416714258E-2</v>
      </c>
      <c r="W9" s="1">
        <f t="shared" si="4"/>
        <v>2.2798451816910103E-2</v>
      </c>
      <c r="X9" s="1">
        <f t="shared" si="4"/>
        <v>1.8835179096818803E-2</v>
      </c>
      <c r="Z9" s="1">
        <f t="shared" si="5"/>
        <v>2.6062740416714258E-2</v>
      </c>
      <c r="AA9" s="1">
        <f t="shared" si="6"/>
        <v>2.2798451816910103E-2</v>
      </c>
      <c r="AB9" s="1">
        <f t="shared" si="6"/>
        <v>1.8835179096818803E-2</v>
      </c>
      <c r="AI9" s="8" t="s">
        <v>4</v>
      </c>
      <c r="AJ9" s="4">
        <f t="shared" si="7"/>
        <v>0.61912820143726</v>
      </c>
      <c r="AK9" s="4">
        <f t="shared" si="8"/>
        <v>0.54907223581313436</v>
      </c>
      <c r="AL9" s="4">
        <f t="shared" si="8"/>
        <v>0.44554083654625098</v>
      </c>
    </row>
    <row r="10" spans="1:38" x14ac:dyDescent="0.25">
      <c r="A10" s="1" t="s">
        <v>14</v>
      </c>
      <c r="B10" s="1">
        <v>1</v>
      </c>
      <c r="C10" s="1">
        <v>1.23</v>
      </c>
      <c r="D10" s="1">
        <v>0.38900000000000001</v>
      </c>
      <c r="E10" s="1">
        <v>0.73699999999999999</v>
      </c>
      <c r="F10" s="1">
        <v>0.105</v>
      </c>
      <c r="K10" s="1">
        <f t="shared" si="1"/>
        <v>33.723000000000006</v>
      </c>
      <c r="N10" s="4">
        <v>0.28999999999999998</v>
      </c>
      <c r="O10" s="4">
        <v>0.23691829432811307</v>
      </c>
      <c r="P10" s="4">
        <v>0.23486823799279266</v>
      </c>
      <c r="R10" s="4">
        <f t="shared" si="2"/>
        <v>0.10545454545454545</v>
      </c>
      <c r="S10" s="4">
        <f t="shared" si="0"/>
        <v>9.3829027456678427E-2</v>
      </c>
      <c r="T10" s="4">
        <f t="shared" si="0"/>
        <v>6.8574668027092764E-2</v>
      </c>
      <c r="V10" s="1">
        <f t="shared" si="3"/>
        <v>3.1270807892104925E-3</v>
      </c>
      <c r="W10" s="1">
        <f t="shared" si="4"/>
        <v>2.7823452082163039E-3</v>
      </c>
      <c r="X10" s="1">
        <f t="shared" si="4"/>
        <v>2.0334687906500832E-3</v>
      </c>
      <c r="Z10" s="1">
        <f t="shared" si="5"/>
        <v>3.1270807892104925E-3</v>
      </c>
      <c r="AA10" s="1">
        <f t="shared" si="6"/>
        <v>2.7823452082163039E-3</v>
      </c>
      <c r="AB10" s="1">
        <f t="shared" si="6"/>
        <v>2.0334687906500832E-3</v>
      </c>
      <c r="AI10" s="8" t="s">
        <v>29</v>
      </c>
      <c r="AJ10" s="3">
        <f t="shared" si="7"/>
        <v>7.4284740354137332E-2</v>
      </c>
      <c r="AK10" s="3">
        <f t="shared" si="8"/>
        <v>6.7009309077125684E-2</v>
      </c>
      <c r="AL10" s="3">
        <f t="shared" si="8"/>
        <v>4.810112935055396E-2</v>
      </c>
    </row>
    <row r="11" spans="1:38" x14ac:dyDescent="0.25">
      <c r="R11" s="4">
        <f>SUM(R6:R10)</f>
        <v>0.99118181818181816</v>
      </c>
      <c r="S11" s="4">
        <f>SUM(S6:S10)</f>
        <v>1.0302401067143665</v>
      </c>
      <c r="T11" s="4">
        <f>SUM(T6:T10)</f>
        <v>0.88496577076952565</v>
      </c>
      <c r="Y11" s="8" t="s">
        <v>30</v>
      </c>
      <c r="Z11" s="1">
        <f>SUM(Z6:Z10)</f>
        <v>4.1724661181755912E-2</v>
      </c>
      <c r="AA11" s="1">
        <f>SUM(AA6:AA10)</f>
        <v>4.2777394121908278E-2</v>
      </c>
      <c r="AB11" s="1">
        <f>SUM(AB6:AB10)</f>
        <v>3.7411809243366581E-2</v>
      </c>
      <c r="AC11" s="1" t="s">
        <v>31</v>
      </c>
    </row>
    <row r="12" spans="1:38" x14ac:dyDescent="0.25">
      <c r="M12" s="1" t="s">
        <v>15</v>
      </c>
      <c r="N12" s="1">
        <v>2.75</v>
      </c>
      <c r="O12" s="5">
        <v>2.5250000000000004</v>
      </c>
      <c r="P12" s="5">
        <v>3.4249999999999994</v>
      </c>
      <c r="Y12" s="8"/>
      <c r="Z12" s="1">
        <f>Z11/$Z$11</f>
        <v>1</v>
      </c>
      <c r="AA12" s="1">
        <f>AA11/$AA$11</f>
        <v>1</v>
      </c>
      <c r="AB12" s="1">
        <f>AB11/$AB$11</f>
        <v>1</v>
      </c>
    </row>
    <row r="13" spans="1:38" x14ac:dyDescent="0.25">
      <c r="M13" s="1" t="s">
        <v>16</v>
      </c>
      <c r="N13" s="5">
        <v>3.7650000000000001</v>
      </c>
      <c r="O13" s="5">
        <v>3.7903793045</v>
      </c>
      <c r="P13" s="5">
        <v>5.8146536414999996</v>
      </c>
    </row>
    <row r="14" spans="1:38" ht="15.75" x14ac:dyDescent="0.3">
      <c r="Z14" s="1" t="s">
        <v>22</v>
      </c>
    </row>
    <row r="15" spans="1:38" x14ac:dyDescent="0.25">
      <c r="M15" s="1" t="s">
        <v>4</v>
      </c>
      <c r="N15" s="20">
        <f>N9/N12</f>
        <v>0.58909090909090911</v>
      </c>
      <c r="O15" s="20">
        <f>O9/O12</f>
        <v>0.51530884672725574</v>
      </c>
      <c r="P15" s="20">
        <f>P9/P12</f>
        <v>0.42572778608957612</v>
      </c>
      <c r="Y15" s="8" t="s">
        <v>0</v>
      </c>
      <c r="Z15" s="1">
        <f>V6*$C6</f>
        <v>1.3788361427445805E-2</v>
      </c>
      <c r="AA15" s="1">
        <f>W6*$C6</f>
        <v>2.1348093642849654E-2</v>
      </c>
      <c r="AB15" s="1">
        <f>X6*$C6</f>
        <v>1.8184975814764831E-2</v>
      </c>
    </row>
    <row r="16" spans="1:38" x14ac:dyDescent="0.25">
      <c r="M16" s="1" t="s">
        <v>0</v>
      </c>
      <c r="N16" s="20">
        <f>N6/N12</f>
        <v>0.22290909090909092</v>
      </c>
      <c r="O16" s="20">
        <f>O6/O12</f>
        <v>0.34512325279620054</v>
      </c>
      <c r="P16" s="20">
        <f>P6/P12</f>
        <v>0.29398681260300652</v>
      </c>
      <c r="Y16" s="8" t="s">
        <v>27</v>
      </c>
      <c r="Z16" s="1">
        <f t="shared" ref="Z16:AB16" si="9">V7*$C7</f>
        <v>1.9996191201675871E-4</v>
      </c>
      <c r="AA16" s="1">
        <f t="shared" si="9"/>
        <v>1.9996191201675871E-4</v>
      </c>
      <c r="AB16" s="1">
        <f t="shared" si="9"/>
        <v>1.9996191201675871E-4</v>
      </c>
    </row>
    <row r="17" spans="13:29" x14ac:dyDescent="0.25">
      <c r="M17" s="1" t="s">
        <v>29</v>
      </c>
      <c r="N17" s="20">
        <f>N10/N12</f>
        <v>0.10545454545454545</v>
      </c>
      <c r="O17" s="19">
        <f>O10/O12</f>
        <v>9.3829027456678427E-2</v>
      </c>
      <c r="P17" s="19">
        <f>P10/P12</f>
        <v>6.8574668027092764E-2</v>
      </c>
      <c r="Y17" s="8" t="s">
        <v>28</v>
      </c>
      <c r="Z17" s="1">
        <f t="shared" ref="Z17:AB17" si="10">V8*$C8</f>
        <v>7.7037196881827759E-3</v>
      </c>
      <c r="AA17" s="1">
        <f t="shared" si="10"/>
        <v>7.9561161374113887E-3</v>
      </c>
      <c r="AB17" s="1">
        <f t="shared" si="10"/>
        <v>1.0276125636400261E-2</v>
      </c>
    </row>
    <row r="18" spans="13:29" x14ac:dyDescent="0.25">
      <c r="M18" s="1" t="s">
        <v>28</v>
      </c>
      <c r="N18" s="19">
        <f>N8/N12</f>
        <v>6.8727272727272734E-2</v>
      </c>
      <c r="O18" s="19">
        <f>O8/O12</f>
        <v>7.0978979734231853E-2</v>
      </c>
      <c r="P18" s="19">
        <f>P8/P12</f>
        <v>9.167650404985031E-2</v>
      </c>
      <c r="Y18" s="8" t="s">
        <v>4</v>
      </c>
      <c r="Z18" s="1">
        <f t="shared" ref="Z18:AB18" si="11">V9*$C9</f>
        <v>4.1179129858408527E-2</v>
      </c>
      <c r="AA18" s="1">
        <f t="shared" si="11"/>
        <v>3.6021553870717961E-2</v>
      </c>
      <c r="AB18" s="1">
        <f t="shared" si="11"/>
        <v>2.9759582972973712E-2</v>
      </c>
    </row>
    <row r="19" spans="13:29" x14ac:dyDescent="0.25">
      <c r="M19" s="1" t="s">
        <v>3</v>
      </c>
      <c r="N19" s="19">
        <f>(N12-N6-N8-N9-N10)/N12</f>
        <v>1.3818181818181769E-2</v>
      </c>
      <c r="O19" s="19">
        <f>(O12-O6-O8-O9-O10)/O12</f>
        <v>-2.5240106714366575E-2</v>
      </c>
      <c r="P19" s="20">
        <f>(P12-P6-P8-P9-P10)/P12</f>
        <v>0.12003422923047423</v>
      </c>
      <c r="Y19" s="8" t="s">
        <v>29</v>
      </c>
      <c r="Z19" s="1">
        <f t="shared" ref="Z19:AB19" si="12">V10*$C10</f>
        <v>3.8463093707289059E-3</v>
      </c>
      <c r="AA19" s="1">
        <f t="shared" si="12"/>
        <v>3.4222846061060536E-3</v>
      </c>
      <c r="AB19" s="1">
        <f t="shared" si="12"/>
        <v>2.5011666124996022E-3</v>
      </c>
    </row>
    <row r="20" spans="13:29" x14ac:dyDescent="0.25">
      <c r="N20" s="1">
        <f>SUM(N15:N19)</f>
        <v>1</v>
      </c>
      <c r="O20" s="1">
        <f>SUM(O15:O19)</f>
        <v>1</v>
      </c>
      <c r="P20" s="1">
        <f>SUM(P15:P19)</f>
        <v>0.99999999999999989</v>
      </c>
      <c r="Y20" s="8" t="s">
        <v>30</v>
      </c>
      <c r="Z20" s="1">
        <f>SUM(Z15:Z19)</f>
        <v>6.6717482256782784E-2</v>
      </c>
      <c r="AA20" s="1">
        <f>SUM(AA15:AA19)</f>
        <v>6.894801016910182E-2</v>
      </c>
      <c r="AB20" s="1">
        <f>SUM(AB15:AB19)</f>
        <v>6.0921812948655174E-2</v>
      </c>
      <c r="AC20" s="1" t="s">
        <v>36</v>
      </c>
    </row>
    <row r="21" spans="13:29" x14ac:dyDescent="0.25">
      <c r="Y21" s="8"/>
      <c r="Z21" s="1">
        <f>Z20/$Z$11</f>
        <v>1.5989939850237771</v>
      </c>
      <c r="AA21" s="1">
        <f>AA20/$AA$11</f>
        <v>1.6117861217214808</v>
      </c>
      <c r="AB21" s="1">
        <f>AB20/$AB$11</f>
        <v>1.6284113006231344</v>
      </c>
    </row>
    <row r="23" spans="13:29" ht="15.75" x14ac:dyDescent="0.3">
      <c r="M23" s="1" t="s">
        <v>4</v>
      </c>
      <c r="N23" s="4">
        <f>N9/N13</f>
        <v>0.4302788844621514</v>
      </c>
      <c r="O23" s="4">
        <f>O9/O13</f>
        <v>0.34327826675329531</v>
      </c>
      <c r="P23" s="4">
        <f>P9/P13</f>
        <v>0.25076603994948338</v>
      </c>
      <c r="Y23" s="8"/>
      <c r="Z23" s="1" t="s">
        <v>23</v>
      </c>
    </row>
    <row r="24" spans="13:29" x14ac:dyDescent="0.25">
      <c r="M24" s="1" t="s">
        <v>0</v>
      </c>
      <c r="N24" s="4">
        <f>N6/N13</f>
        <v>0.16281540504648073</v>
      </c>
      <c r="O24" s="4">
        <f>O6/O13</f>
        <v>0.22990739007988548</v>
      </c>
      <c r="P24" s="4">
        <f>P6/P13</f>
        <v>0.17316677746355794</v>
      </c>
      <c r="Y24" s="8" t="s">
        <v>0</v>
      </c>
      <c r="Z24" s="1">
        <f>V6*$D6</f>
        <v>0</v>
      </c>
      <c r="AA24" s="1">
        <f>W6*$D6</f>
        <v>0</v>
      </c>
      <c r="AB24" s="1">
        <f>X6*$D6</f>
        <v>0</v>
      </c>
    </row>
    <row r="25" spans="13:29" x14ac:dyDescent="0.25">
      <c r="M25" s="1" t="s">
        <v>29</v>
      </c>
      <c r="N25" s="4">
        <f>N10/N13</f>
        <v>7.7025232403718447E-2</v>
      </c>
      <c r="O25" s="4">
        <f>O10/O13</f>
        <v>6.2505167766940845E-2</v>
      </c>
      <c r="P25" s="4">
        <f>P10/P13</f>
        <v>4.0392472617200283E-2</v>
      </c>
      <c r="Y25" s="8" t="s">
        <v>27</v>
      </c>
      <c r="Z25" s="1">
        <f t="shared" ref="Z25:AB25" si="13">V7*$D7</f>
        <v>5.9988573605027614E-5</v>
      </c>
      <c r="AA25" s="1">
        <f t="shared" si="13"/>
        <v>5.9988573605027614E-5</v>
      </c>
      <c r="AB25" s="1">
        <f t="shared" si="13"/>
        <v>5.9988573605027614E-5</v>
      </c>
    </row>
    <row r="26" spans="13:29" x14ac:dyDescent="0.25">
      <c r="M26" s="1" t="s">
        <v>28</v>
      </c>
      <c r="N26" s="4">
        <f>N8/N13</f>
        <v>5.0199203187250997E-2</v>
      </c>
      <c r="O26" s="4">
        <f>O8/O13</f>
        <v>4.7283374414840297E-2</v>
      </c>
      <c r="P26" s="4">
        <f>P8/P13</f>
        <v>5.4000125498401497E-2</v>
      </c>
      <c r="Y26" s="8" t="s">
        <v>28</v>
      </c>
      <c r="Z26" s="1">
        <f t="shared" ref="Z26:AB26" si="14">V8*$D8</f>
        <v>3.9260132956353935E-5</v>
      </c>
      <c r="AA26" s="1">
        <f t="shared" si="14"/>
        <v>4.0546410047877286E-5</v>
      </c>
      <c r="AB26" s="1">
        <f t="shared" si="14"/>
        <v>5.2369773965184219E-5</v>
      </c>
    </row>
    <row r="27" spans="13:29" x14ac:dyDescent="0.25">
      <c r="M27" s="1" t="s">
        <v>3</v>
      </c>
      <c r="N27" s="4">
        <f>(N12-N6-N8-N9-N10)/N13</f>
        <v>1.0092961487383763E-2</v>
      </c>
      <c r="O27" s="4">
        <f>(O12-O6-O8-O9-O10)/O13</f>
        <v>-1.6813955631857953E-2</v>
      </c>
      <c r="P27" s="4">
        <f>(P12-P6-P8-P9-P10)/P13</f>
        <v>7.0703649858036718E-2</v>
      </c>
      <c r="Y27" s="8" t="s">
        <v>4</v>
      </c>
      <c r="Z27" s="1">
        <f t="shared" ref="Z27:AB27" si="15">V9*$D9</f>
        <v>7.1672536145964217E-3</v>
      </c>
      <c r="AA27" s="1">
        <f t="shared" si="15"/>
        <v>6.2695742496502787E-3</v>
      </c>
      <c r="AB27" s="1">
        <f t="shared" si="15"/>
        <v>5.1796742516251717E-3</v>
      </c>
    </row>
    <row r="28" spans="13:29" x14ac:dyDescent="0.25">
      <c r="Y28" s="8" t="s">
        <v>29</v>
      </c>
      <c r="Z28" s="1">
        <f t="shared" ref="Z28:AB28" si="16">V10*$D10</f>
        <v>1.2164344270028816E-3</v>
      </c>
      <c r="AA28" s="1">
        <f t="shared" si="16"/>
        <v>1.0823322859961422E-3</v>
      </c>
      <c r="AB28" s="1">
        <f t="shared" si="16"/>
        <v>7.9101935956288241E-4</v>
      </c>
    </row>
    <row r="29" spans="13:29" x14ac:dyDescent="0.25">
      <c r="Y29" s="8" t="s">
        <v>30</v>
      </c>
      <c r="Z29" s="1">
        <f>SUM(Z24:Z28)</f>
        <v>8.4829367481606844E-3</v>
      </c>
      <c r="AA29" s="1">
        <f>SUM(AA24:AA28)</f>
        <v>7.4524415192993264E-3</v>
      </c>
      <c r="AB29" s="1">
        <f>SUM(AB24:AB28)</f>
        <v>6.0830519587582663E-3</v>
      </c>
      <c r="AC29" s="1" t="s">
        <v>35</v>
      </c>
    </row>
    <row r="30" spans="13:29" x14ac:dyDescent="0.25">
      <c r="Y30" s="8"/>
      <c r="Z30" s="1">
        <f>Z29/$Z$11</f>
        <v>0.20330750467231701</v>
      </c>
      <c r="AA30" s="1">
        <f>AA29/$AA$11</f>
        <v>0.17421448108926735</v>
      </c>
      <c r="AB30" s="1">
        <f>AB29/$AB$11</f>
        <v>0.16259710721787241</v>
      </c>
    </row>
    <row r="32" spans="13:29" ht="15.75" x14ac:dyDescent="0.3">
      <c r="Y32" s="8"/>
      <c r="Z32" s="1" t="s">
        <v>24</v>
      </c>
    </row>
    <row r="33" spans="25:29" x14ac:dyDescent="0.25">
      <c r="Y33" s="8" t="s">
        <v>0</v>
      </c>
      <c r="Z33" s="1">
        <f>V6*$E6</f>
        <v>6.8776677060253628E-3</v>
      </c>
      <c r="AA33" s="1">
        <f>W6*$E6</f>
        <v>1.0648480242211832E-2</v>
      </c>
      <c r="AB33" s="1">
        <f>X6*$E6</f>
        <v>9.0707094932329958E-3</v>
      </c>
    </row>
    <row r="34" spans="25:29" x14ac:dyDescent="0.25">
      <c r="Y34" s="8" t="s">
        <v>27</v>
      </c>
      <c r="Z34" s="1">
        <f t="shared" ref="Z34:AB34" si="17">V7*$E7</f>
        <v>9.7124357265282801E-5</v>
      </c>
      <c r="AA34" s="1">
        <f t="shared" si="17"/>
        <v>9.7124357265282801E-5</v>
      </c>
      <c r="AB34" s="1">
        <f t="shared" si="17"/>
        <v>9.7124357265282801E-5</v>
      </c>
    </row>
    <row r="35" spans="25:29" x14ac:dyDescent="0.25">
      <c r="Y35" s="8" t="s">
        <v>28</v>
      </c>
      <c r="Z35" s="1">
        <f t="shared" ref="Z35:AB35" si="18">V8*$E8</f>
        <v>6.1382579333648854E-4</v>
      </c>
      <c r="AA35" s="1">
        <f t="shared" si="18"/>
        <v>6.3393652645684316E-4</v>
      </c>
      <c r="AB35" s="1">
        <f t="shared" si="18"/>
        <v>8.1879289830141106E-4</v>
      </c>
    </row>
    <row r="36" spans="25:29" x14ac:dyDescent="0.25">
      <c r="Y36" s="8" t="s">
        <v>4</v>
      </c>
      <c r="Z36" s="1">
        <f t="shared" ref="Z36:AB36" si="19">V9*$E9</f>
        <v>8.2879514525151347E-3</v>
      </c>
      <c r="AA36" s="1">
        <f t="shared" si="19"/>
        <v>7.2499076777774131E-3</v>
      </c>
      <c r="AB36" s="1">
        <f t="shared" si="19"/>
        <v>5.9895869527883793E-3</v>
      </c>
    </row>
    <row r="37" spans="25:29" x14ac:dyDescent="0.25">
      <c r="Y37" s="8" t="s">
        <v>29</v>
      </c>
      <c r="Z37" s="1">
        <f t="shared" ref="Z37:AB37" si="20">V10*$E10</f>
        <v>2.3046585416481328E-3</v>
      </c>
      <c r="AA37" s="1">
        <f t="shared" si="20"/>
        <v>2.050588418455416E-3</v>
      </c>
      <c r="AB37" s="1">
        <f t="shared" si="20"/>
        <v>1.4986664987091114E-3</v>
      </c>
    </row>
    <row r="38" spans="25:29" x14ac:dyDescent="0.25">
      <c r="Y38" s="8" t="s">
        <v>30</v>
      </c>
      <c r="Z38" s="1">
        <f>SUM(Z33:Z37)</f>
        <v>1.8181227850790401E-2</v>
      </c>
      <c r="AA38" s="1">
        <f>SUM(AA33:AA37)</f>
        <v>2.0680037222166787E-2</v>
      </c>
      <c r="AB38" s="1">
        <f>SUM(AB33:AB37)</f>
        <v>1.747488020029718E-2</v>
      </c>
      <c r="AC38" s="1" t="s">
        <v>34</v>
      </c>
    </row>
    <row r="39" spans="25:29" x14ac:dyDescent="0.25">
      <c r="Y39" s="8"/>
      <c r="Z39" s="1">
        <f>Z38/$Z$11</f>
        <v>0.43574297156282565</v>
      </c>
      <c r="AA39" s="1">
        <f>AA38/$AA$11</f>
        <v>0.48343377727105602</v>
      </c>
      <c r="AB39" s="1">
        <f>AB38/$AB$11</f>
        <v>0.46709529834875918</v>
      </c>
    </row>
    <row r="41" spans="25:29" ht="15.75" x14ac:dyDescent="0.3">
      <c r="Y41" s="8"/>
      <c r="Z41" s="1" t="s">
        <v>25</v>
      </c>
    </row>
    <row r="42" spans="25:29" x14ac:dyDescent="0.25">
      <c r="Y42" s="8" t="s">
        <v>0</v>
      </c>
      <c r="Z42" s="1">
        <f>V6*$F6</f>
        <v>0</v>
      </c>
      <c r="AA42" s="1">
        <f>W6*$F6</f>
        <v>0</v>
      </c>
      <c r="AB42" s="1">
        <f>X6*$F6</f>
        <v>0</v>
      </c>
    </row>
    <row r="43" spans="25:29" x14ac:dyDescent="0.25">
      <c r="Y43" s="8" t="s">
        <v>27</v>
      </c>
      <c r="Z43" s="1">
        <f t="shared" ref="Z43:AB43" si="21">V7*$F7</f>
        <v>1.6187392877547135E-5</v>
      </c>
      <c r="AA43" s="1">
        <f t="shared" si="21"/>
        <v>1.6187392877547135E-5</v>
      </c>
      <c r="AB43" s="1">
        <f t="shared" si="21"/>
        <v>1.6187392877547135E-5</v>
      </c>
    </row>
    <row r="44" spans="25:29" x14ac:dyDescent="0.25">
      <c r="Y44" s="8" t="s">
        <v>28</v>
      </c>
      <c r="Z44" s="1">
        <f t="shared" ref="Z44:AB44" si="22">V8*$F8</f>
        <v>3.9260132956353935E-5</v>
      </c>
      <c r="AA44" s="1">
        <f t="shared" si="22"/>
        <v>4.0546410047877286E-5</v>
      </c>
      <c r="AB44" s="1">
        <f t="shared" si="22"/>
        <v>5.2369773965184219E-5</v>
      </c>
    </row>
    <row r="45" spans="25:29" x14ac:dyDescent="0.25">
      <c r="Y45" s="8" t="s">
        <v>4</v>
      </c>
      <c r="Z45" s="1">
        <f t="shared" ref="Z45:AB45" si="23">V9*$F9</f>
        <v>0</v>
      </c>
      <c r="AA45" s="1">
        <f t="shared" si="23"/>
        <v>0</v>
      </c>
      <c r="AB45" s="1">
        <f t="shared" si="23"/>
        <v>0</v>
      </c>
    </row>
    <row r="46" spans="25:29" x14ac:dyDescent="0.25">
      <c r="Y46" s="8" t="s">
        <v>29</v>
      </c>
      <c r="Z46" s="1">
        <f t="shared" ref="Z46:AB46" si="24">V10*$F10</f>
        <v>3.283434828671017E-4</v>
      </c>
      <c r="AA46" s="1">
        <f t="shared" si="24"/>
        <v>2.9214624686271188E-4</v>
      </c>
      <c r="AB46" s="1">
        <f t="shared" si="24"/>
        <v>2.1351422301825874E-4</v>
      </c>
    </row>
    <row r="47" spans="25:29" x14ac:dyDescent="0.25">
      <c r="Y47" s="8" t="s">
        <v>30</v>
      </c>
      <c r="Z47" s="1">
        <f>SUM(Z42:Z46)</f>
        <v>3.8379100870100278E-4</v>
      </c>
      <c r="AA47" s="1">
        <f>SUM(AA42:AA46)</f>
        <v>3.4888004978813627E-4</v>
      </c>
      <c r="AB47" s="1">
        <f>SUM(AB42:AB46)</f>
        <v>2.8207138986099012E-4</v>
      </c>
      <c r="AC47" s="1" t="s">
        <v>33</v>
      </c>
    </row>
    <row r="48" spans="25:29" x14ac:dyDescent="0.25">
      <c r="Y48" s="8"/>
      <c r="Z48" s="1">
        <f>Z47/$Z$11</f>
        <v>9.1981815509340845E-3</v>
      </c>
      <c r="AA48" s="1">
        <f>AA47/$AA$11</f>
        <v>8.1557106726484457E-3</v>
      </c>
      <c r="AB48" s="1">
        <f>AB47/$AB$11</f>
        <v>7.5396350929219941E-3</v>
      </c>
    </row>
    <row r="50" spans="25:29" ht="15.75" x14ac:dyDescent="0.3">
      <c r="Y50" s="8"/>
      <c r="Z50" s="1" t="s">
        <v>26</v>
      </c>
    </row>
    <row r="51" spans="25:29" x14ac:dyDescent="0.25">
      <c r="Y51" s="8" t="s">
        <v>0</v>
      </c>
      <c r="Z51" s="1">
        <f>V6*$G6</f>
        <v>0</v>
      </c>
      <c r="AA51" s="1">
        <f>W6*$G6</f>
        <v>0</v>
      </c>
      <c r="AB51" s="1">
        <f>X6*$G6</f>
        <v>0</v>
      </c>
    </row>
    <row r="52" spans="25:29" x14ac:dyDescent="0.25">
      <c r="Y52" s="8" t="s">
        <v>27</v>
      </c>
      <c r="Z52" s="1">
        <f t="shared" ref="Z52:AB52" si="25">V7*$G7</f>
        <v>0</v>
      </c>
      <c r="AA52" s="1">
        <f t="shared" si="25"/>
        <v>0</v>
      </c>
      <c r="AB52" s="1">
        <f t="shared" si="25"/>
        <v>0</v>
      </c>
    </row>
    <row r="53" spans="25:29" x14ac:dyDescent="0.25">
      <c r="Y53" s="8" t="s">
        <v>28</v>
      </c>
      <c r="Z53" s="1">
        <f t="shared" ref="Z53:AB53" si="26">V8*$G8</f>
        <v>0</v>
      </c>
      <c r="AA53" s="1">
        <f t="shared" si="26"/>
        <v>0</v>
      </c>
      <c r="AB53" s="1">
        <f t="shared" si="26"/>
        <v>0</v>
      </c>
    </row>
    <row r="54" spans="25:29" x14ac:dyDescent="0.25">
      <c r="Y54" s="8" t="s">
        <v>4</v>
      </c>
      <c r="Z54" s="1">
        <f t="shared" ref="Z54:AB54" si="27">V9*$G9</f>
        <v>6.9066262104292784E-5</v>
      </c>
      <c r="AA54" s="1">
        <f t="shared" si="27"/>
        <v>6.0415897314811772E-5</v>
      </c>
      <c r="AB54" s="1">
        <f t="shared" si="27"/>
        <v>4.9913224606569829E-5</v>
      </c>
    </row>
    <row r="55" spans="25:29" x14ac:dyDescent="0.25">
      <c r="Y55" s="8" t="s">
        <v>29</v>
      </c>
      <c r="Z55" s="1">
        <f t="shared" ref="Z55:AB55" si="28">V10*$G10</f>
        <v>0</v>
      </c>
      <c r="AA55" s="1">
        <f t="shared" si="28"/>
        <v>0</v>
      </c>
      <c r="AB55" s="1">
        <f t="shared" si="28"/>
        <v>0</v>
      </c>
    </row>
    <row r="56" spans="25:29" x14ac:dyDescent="0.25">
      <c r="Y56" s="8" t="s">
        <v>30</v>
      </c>
      <c r="Z56" s="1">
        <f>SUM(Z51:Z55)</f>
        <v>6.9066262104292784E-5</v>
      </c>
      <c r="AA56" s="1">
        <f>SUM(AA51:AA55)</f>
        <v>6.0415897314811772E-5</v>
      </c>
      <c r="AB56" s="1">
        <f>SUM(AB51:AB55)</f>
        <v>4.9913224606569829E-5</v>
      </c>
      <c r="AC56" s="1" t="s">
        <v>32</v>
      </c>
    </row>
    <row r="57" spans="25:29" x14ac:dyDescent="0.25">
      <c r="Z57" s="1">
        <f>Z56/$Z$11</f>
        <v>1.6552863498024515E-3</v>
      </c>
      <c r="AA57" s="1">
        <f>AA56/$AA$11</f>
        <v>1.4123323441029804E-3</v>
      </c>
      <c r="AB57" s="1">
        <f>AB56/$AB$11</f>
        <v>1.3341569310877381E-3</v>
      </c>
    </row>
  </sheetData>
  <hyperlinks>
    <hyperlink ref="N4" r:id="rId1" display="https://doi.org/10.1093/femsyr/foae037" xr:uid="{5AA0C9A8-E749-40FE-9478-C26BCAB00A7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DDB5-F249-4BAA-BAE1-E59DED52046B}">
  <dimension ref="A1:J160"/>
  <sheetViews>
    <sheetView workbookViewId="0"/>
  </sheetViews>
  <sheetFormatPr defaultRowHeight="15" x14ac:dyDescent="0.25"/>
  <cols>
    <col min="1" max="1" width="18.5703125" bestFit="1" customWidth="1"/>
    <col min="6" max="6" width="11" bestFit="1" customWidth="1"/>
  </cols>
  <sheetData>
    <row r="1" spans="1:10" x14ac:dyDescent="0.25">
      <c r="A1" t="s">
        <v>443</v>
      </c>
    </row>
    <row r="3" spans="1:10" x14ac:dyDescent="0.25">
      <c r="A3" t="s">
        <v>342</v>
      </c>
      <c r="B3" s="9">
        <f>B4*B5</f>
        <v>14.965838613629858</v>
      </c>
      <c r="C3" t="s">
        <v>343</v>
      </c>
    </row>
    <row r="4" spans="1:10" x14ac:dyDescent="0.25">
      <c r="A4" t="s">
        <v>342</v>
      </c>
      <c r="B4">
        <v>0.63</v>
      </c>
      <c r="C4" t="s">
        <v>344</v>
      </c>
    </row>
    <row r="5" spans="1:10" x14ac:dyDescent="0.25">
      <c r="A5" t="s">
        <v>345</v>
      </c>
      <c r="B5" s="10">
        <f>Cmol!AE6</f>
        <v>23.755299386714061</v>
      </c>
      <c r="C5" t="s">
        <v>37</v>
      </c>
    </row>
    <row r="6" spans="1:10" x14ac:dyDescent="0.25">
      <c r="A6" t="s">
        <v>346</v>
      </c>
      <c r="B6">
        <v>1.8</v>
      </c>
    </row>
    <row r="7" spans="1:10" x14ac:dyDescent="0.25">
      <c r="B7">
        <v>100</v>
      </c>
      <c r="C7">
        <f>B3+B7*B6</f>
        <v>194.96583861362987</v>
      </c>
      <c r="D7" t="s">
        <v>347</v>
      </c>
    </row>
    <row r="8" spans="1:10" x14ac:dyDescent="0.25">
      <c r="B8" t="s">
        <v>360</v>
      </c>
      <c r="C8" t="s">
        <v>178</v>
      </c>
      <c r="F8" t="s">
        <v>356</v>
      </c>
    </row>
    <row r="9" spans="1:10" x14ac:dyDescent="0.25">
      <c r="A9" t="s">
        <v>39</v>
      </c>
      <c r="B9">
        <v>-2.192858419246805</v>
      </c>
      <c r="C9">
        <v>-1.2826086956521721</v>
      </c>
      <c r="D9" s="11" t="s">
        <v>348</v>
      </c>
      <c r="E9">
        <f>-SUMPRODUCT(B9:C9,$B$7:$C$7)</f>
        <v>469.35072188564021</v>
      </c>
      <c r="F9" s="10">
        <f>E9/$B$5</f>
        <v>19.757727075758943</v>
      </c>
      <c r="H9" t="s">
        <v>349</v>
      </c>
      <c r="I9" s="9">
        <f>E10/-E160</f>
        <v>1.1672468746968039</v>
      </c>
      <c r="J9" t="s">
        <v>350</v>
      </c>
    </row>
    <row r="10" spans="1:10" x14ac:dyDescent="0.25">
      <c r="A10" t="s">
        <v>377</v>
      </c>
      <c r="B10">
        <v>-1</v>
      </c>
      <c r="C10">
        <v>0</v>
      </c>
      <c r="D10" s="11" t="s">
        <v>348</v>
      </c>
      <c r="E10">
        <f t="shared" ref="E10:E73" si="0">-SUMPRODUCT(B10:C10,$B$7:$C$7)</f>
        <v>100</v>
      </c>
      <c r="F10" s="10">
        <f t="shared" ref="F10:F73" si="1">E10/$B$5</f>
        <v>4.2095870219142899</v>
      </c>
      <c r="H10" t="s">
        <v>349</v>
      </c>
      <c r="I10" s="9">
        <f>I9*B5/46</f>
        <v>0.60278910797019325</v>
      </c>
      <c r="J10" t="s">
        <v>351</v>
      </c>
    </row>
    <row r="11" spans="1:10" x14ac:dyDescent="0.25">
      <c r="A11" t="s">
        <v>40</v>
      </c>
      <c r="B11">
        <v>0.10892843653269815</v>
      </c>
      <c r="C11">
        <v>4.653395724307785E-16</v>
      </c>
      <c r="D11" s="11" t="s">
        <v>348</v>
      </c>
      <c r="E11">
        <f t="shared" si="0"/>
        <v>-10.892843653269907</v>
      </c>
      <c r="F11" s="10">
        <f t="shared" si="1"/>
        <v>-0.45854373274546439</v>
      </c>
    </row>
    <row r="12" spans="1:10" x14ac:dyDescent="0.25">
      <c r="A12" t="s">
        <v>41</v>
      </c>
      <c r="B12">
        <v>0.12650271366888738</v>
      </c>
      <c r="C12">
        <v>1.7889335846010823E-15</v>
      </c>
      <c r="D12" s="11" t="s">
        <v>348</v>
      </c>
      <c r="E12">
        <f t="shared" si="0"/>
        <v>-12.650271366889086</v>
      </c>
      <c r="F12" s="10">
        <f t="shared" si="1"/>
        <v>-0.53252418169750237</v>
      </c>
      <c r="H12" t="s">
        <v>354</v>
      </c>
    </row>
    <row r="13" spans="1:10" x14ac:dyDescent="0.25">
      <c r="A13" t="s">
        <v>42</v>
      </c>
      <c r="B13">
        <v>-2.2710857193498821E-3</v>
      </c>
      <c r="C13">
        <v>7.3461768069626702E-17</v>
      </c>
      <c r="D13" s="11" t="s">
        <v>348</v>
      </c>
      <c r="E13">
        <f t="shared" si="0"/>
        <v>0.22710857193497389</v>
      </c>
      <c r="F13" s="10">
        <f t="shared" si="1"/>
        <v>9.5603329698295391E-3</v>
      </c>
      <c r="I13">
        <f>Cmol!AF6</f>
        <v>24.083750959171518</v>
      </c>
      <c r="J13" t="s">
        <v>37</v>
      </c>
    </row>
    <row r="14" spans="1:10" x14ac:dyDescent="0.25">
      <c r="A14" t="s">
        <v>43</v>
      </c>
      <c r="B14">
        <v>-5.1367829724930147E-2</v>
      </c>
      <c r="C14">
        <v>2.7894353493707058E-15</v>
      </c>
      <c r="D14" s="11" t="s">
        <v>348</v>
      </c>
      <c r="E14">
        <f t="shared" si="0"/>
        <v>5.1367829724924707</v>
      </c>
      <c r="F14" s="10">
        <f t="shared" si="1"/>
        <v>0.21623734935394615</v>
      </c>
      <c r="H14" t="s">
        <v>349</v>
      </c>
      <c r="I14" s="9">
        <v>0.73</v>
      </c>
      <c r="J14" t="s">
        <v>351</v>
      </c>
    </row>
    <row r="15" spans="1:10" x14ac:dyDescent="0.25">
      <c r="A15" t="s">
        <v>44</v>
      </c>
      <c r="B15">
        <v>-0.58269335758984309</v>
      </c>
      <c r="C15">
        <v>-0.14130434782608672</v>
      </c>
      <c r="D15" s="11" t="s">
        <v>348</v>
      </c>
      <c r="E15">
        <f t="shared" si="0"/>
        <v>85.818856432649355</v>
      </c>
      <c r="F15" s="10">
        <f t="shared" si="1"/>
        <v>3.6126194427440641</v>
      </c>
      <c r="I15">
        <f>I14/I13*46</f>
        <v>1.3943010811284005</v>
      </c>
      <c r="J15" t="s">
        <v>350</v>
      </c>
    </row>
    <row r="16" spans="1:10" x14ac:dyDescent="0.25">
      <c r="A16" t="s">
        <v>45</v>
      </c>
      <c r="B16">
        <v>-0.30005769293055734</v>
      </c>
      <c r="C16">
        <v>-0.1413043478260898</v>
      </c>
      <c r="D16" s="11" t="s">
        <v>348</v>
      </c>
      <c r="E16">
        <f t="shared" si="0"/>
        <v>57.555289966721382</v>
      </c>
      <c r="F16" s="10">
        <f t="shared" si="1"/>
        <v>2.4228400168642406</v>
      </c>
      <c r="I16">
        <v>100</v>
      </c>
      <c r="J16" t="s">
        <v>375</v>
      </c>
    </row>
    <row r="17" spans="1:10" x14ac:dyDescent="0.25">
      <c r="A17" t="s">
        <v>324</v>
      </c>
      <c r="B17">
        <v>-0.28145308256776813</v>
      </c>
      <c r="C17">
        <v>4.6629367034256575E-15</v>
      </c>
      <c r="D17" s="11" t="s">
        <v>348</v>
      </c>
      <c r="E17">
        <f t="shared" si="0"/>
        <v>28.145308256775905</v>
      </c>
      <c r="F17" s="10">
        <f t="shared" si="1"/>
        <v>1.1848012436550095</v>
      </c>
      <c r="I17">
        <f>I16/I15</f>
        <v>71.720521021952109</v>
      </c>
      <c r="J17" t="s">
        <v>376</v>
      </c>
    </row>
    <row r="18" spans="1:10" x14ac:dyDescent="0.25">
      <c r="A18" t="s">
        <v>46</v>
      </c>
      <c r="B18">
        <v>-2.72316910020527E-3</v>
      </c>
      <c r="C18">
        <v>-8.0098970934228937E-17</v>
      </c>
      <c r="D18" s="11" t="s">
        <v>348</v>
      </c>
      <c r="E18">
        <f t="shared" si="0"/>
        <v>0.27231691002054259</v>
      </c>
      <c r="F18" s="10">
        <f t="shared" si="1"/>
        <v>1.1463417302702776E-2</v>
      </c>
    </row>
    <row r="19" spans="1:10" x14ac:dyDescent="0.25">
      <c r="A19" t="s">
        <v>47</v>
      </c>
      <c r="B19">
        <v>-9.0488324994185583E-3</v>
      </c>
      <c r="C19">
        <v>0</v>
      </c>
      <c r="D19" s="11" t="s">
        <v>348</v>
      </c>
      <c r="E19">
        <f t="shared" si="0"/>
        <v>0.90488324994185587</v>
      </c>
      <c r="F19" s="10">
        <f t="shared" si="1"/>
        <v>3.8091847853028611E-2</v>
      </c>
    </row>
    <row r="20" spans="1:10" x14ac:dyDescent="0.25">
      <c r="A20" t="s">
        <v>48</v>
      </c>
      <c r="B20">
        <v>-0.70779105641769857</v>
      </c>
      <c r="C20">
        <v>-0.14130434782608609</v>
      </c>
      <c r="D20" s="11" t="s">
        <v>348</v>
      </c>
      <c r="E20">
        <f t="shared" si="0"/>
        <v>98.328626315434775</v>
      </c>
      <c r="F20" s="10">
        <f t="shared" si="1"/>
        <v>4.1392290922011412</v>
      </c>
    </row>
    <row r="21" spans="1:10" x14ac:dyDescent="0.25">
      <c r="A21" t="s">
        <v>49</v>
      </c>
      <c r="B21">
        <v>-3.41791736695986E-3</v>
      </c>
      <c r="C21">
        <v>-5.8739245351770918E-16</v>
      </c>
      <c r="D21" s="11" t="s">
        <v>348</v>
      </c>
      <c r="E21">
        <f t="shared" si="0"/>
        <v>0.34179173669610052</v>
      </c>
      <c r="F21" s="10">
        <f t="shared" si="1"/>
        <v>1.4388020589934509E-2</v>
      </c>
    </row>
    <row r="22" spans="1:10" x14ac:dyDescent="0.25">
      <c r="A22" t="s">
        <v>50</v>
      </c>
      <c r="B22">
        <v>-3.5717369349736886E-3</v>
      </c>
      <c r="C22">
        <v>0</v>
      </c>
      <c r="D22" s="11" t="s">
        <v>348</v>
      </c>
      <c r="E22">
        <f t="shared" si="0"/>
        <v>0.35717369349736888</v>
      </c>
      <c r="F22" s="10">
        <f t="shared" si="1"/>
        <v>1.5035537447157164E-2</v>
      </c>
    </row>
    <row r="23" spans="1:10" x14ac:dyDescent="0.25">
      <c r="A23" t="s">
        <v>51</v>
      </c>
      <c r="B23">
        <v>-3.7838551295040182E-3</v>
      </c>
      <c r="C23">
        <v>0</v>
      </c>
      <c r="D23" s="11" t="s">
        <v>348</v>
      </c>
      <c r="E23">
        <f t="shared" si="0"/>
        <v>0.37838551295040185</v>
      </c>
      <c r="F23" s="10">
        <f t="shared" si="1"/>
        <v>1.5928467445963931E-2</v>
      </c>
    </row>
    <row r="24" spans="1:10" x14ac:dyDescent="0.25">
      <c r="A24" t="s">
        <v>52</v>
      </c>
      <c r="B24">
        <v>-1.1958468029369491E-2</v>
      </c>
      <c r="C24">
        <v>3.2763646868013427E-16</v>
      </c>
      <c r="D24" s="11" t="s">
        <v>348</v>
      </c>
      <c r="E24">
        <f t="shared" si="0"/>
        <v>1.1958468029368852</v>
      </c>
      <c r="F24" s="10">
        <f t="shared" si="1"/>
        <v>5.0340211818408073E-2</v>
      </c>
    </row>
    <row r="25" spans="1:10" x14ac:dyDescent="0.25">
      <c r="A25" t="s">
        <v>53</v>
      </c>
      <c r="B25">
        <v>-3.2994047073283482E-2</v>
      </c>
      <c r="C25">
        <v>-5.8648738039979882E-16</v>
      </c>
      <c r="D25" s="11" t="s">
        <v>348</v>
      </c>
      <c r="E25">
        <f t="shared" si="0"/>
        <v>3.2994047073284625</v>
      </c>
      <c r="F25" s="10">
        <f t="shared" si="1"/>
        <v>0.13889131236012811</v>
      </c>
    </row>
    <row r="26" spans="1:10" x14ac:dyDescent="0.25">
      <c r="A26" t="s">
        <v>54</v>
      </c>
      <c r="B26">
        <v>-9.2628032545998135E-3</v>
      </c>
      <c r="C26">
        <v>0</v>
      </c>
      <c r="D26" s="11" t="s">
        <v>348</v>
      </c>
      <c r="E26">
        <f t="shared" si="0"/>
        <v>0.9262803254599814</v>
      </c>
      <c r="F26" s="10">
        <f t="shared" si="1"/>
        <v>3.8992576367108824E-2</v>
      </c>
    </row>
    <row r="27" spans="1:10" x14ac:dyDescent="0.25">
      <c r="A27" t="s">
        <v>55</v>
      </c>
      <c r="B27">
        <v>-8.2584935249082041E-4</v>
      </c>
      <c r="C27">
        <v>-3.8814437774981059E-17</v>
      </c>
      <c r="D27" s="11" t="s">
        <v>348</v>
      </c>
      <c r="E27">
        <f t="shared" si="0"/>
        <v>8.2584935249089608E-2</v>
      </c>
      <c r="F27" s="10">
        <f t="shared" si="1"/>
        <v>3.4764847163019958E-3</v>
      </c>
    </row>
    <row r="28" spans="1:10" x14ac:dyDescent="0.25">
      <c r="A28" t="s">
        <v>56</v>
      </c>
      <c r="B28">
        <v>-6.8820779374239281E-5</v>
      </c>
      <c r="C28">
        <v>0</v>
      </c>
      <c r="D28" s="11" t="s">
        <v>348</v>
      </c>
      <c r="E28">
        <f t="shared" si="0"/>
        <v>6.8820779374239279E-3</v>
      </c>
      <c r="F28" s="10">
        <f t="shared" si="1"/>
        <v>2.8970705969182429E-4</v>
      </c>
    </row>
    <row r="29" spans="1:10" x14ac:dyDescent="0.25">
      <c r="A29" t="s">
        <v>57</v>
      </c>
      <c r="B29">
        <v>-4.2930185801550037E-2</v>
      </c>
      <c r="C29">
        <v>0</v>
      </c>
      <c r="D29" s="11" t="s">
        <v>348</v>
      </c>
      <c r="E29">
        <f t="shared" si="0"/>
        <v>4.293018580155004</v>
      </c>
      <c r="F29" s="10">
        <f t="shared" si="1"/>
        <v>0.18071835299857417</v>
      </c>
    </row>
    <row r="30" spans="1:10" x14ac:dyDescent="0.25">
      <c r="A30" t="s">
        <v>58</v>
      </c>
      <c r="B30">
        <v>-6.2949060351793901E-3</v>
      </c>
      <c r="C30">
        <v>4.2236745502044075E-17</v>
      </c>
      <c r="D30" s="11" t="s">
        <v>348</v>
      </c>
      <c r="E30">
        <f t="shared" si="0"/>
        <v>0.62949060351793085</v>
      </c>
      <c r="F30" s="10">
        <f t="shared" si="1"/>
        <v>2.6498954749860755E-2</v>
      </c>
    </row>
    <row r="31" spans="1:10" x14ac:dyDescent="0.25">
      <c r="A31" t="s">
        <v>59</v>
      </c>
      <c r="B31">
        <v>-1.2387740287365891E-3</v>
      </c>
      <c r="C31">
        <v>-1.1501970873324459E-16</v>
      </c>
      <c r="D31" s="11" t="s">
        <v>348</v>
      </c>
      <c r="E31">
        <f t="shared" si="0"/>
        <v>0.12387740287368133</v>
      </c>
      <c r="F31" s="10">
        <f t="shared" si="1"/>
        <v>5.2147270744549688E-3</v>
      </c>
    </row>
    <row r="32" spans="1:10" x14ac:dyDescent="0.25">
      <c r="A32" t="s">
        <v>325</v>
      </c>
      <c r="B32">
        <v>-0.27760414166747049</v>
      </c>
      <c r="C32">
        <v>-0.14130434782608595</v>
      </c>
      <c r="D32" s="11" t="s">
        <v>348</v>
      </c>
      <c r="E32">
        <f t="shared" si="0"/>
        <v>55.309934840411941</v>
      </c>
      <c r="F32" s="10">
        <f t="shared" si="1"/>
        <v>2.3283198388712312</v>
      </c>
    </row>
    <row r="33" spans="1:6" x14ac:dyDescent="0.25">
      <c r="A33" t="s">
        <v>60</v>
      </c>
      <c r="B33">
        <v>-1.2387740287365891E-3</v>
      </c>
      <c r="C33">
        <v>-1.1501970873324459E-16</v>
      </c>
      <c r="D33" s="11" t="s">
        <v>348</v>
      </c>
      <c r="E33">
        <f t="shared" si="0"/>
        <v>0.12387740287368133</v>
      </c>
      <c r="F33" s="10">
        <f t="shared" si="1"/>
        <v>5.2147270744549688E-3</v>
      </c>
    </row>
    <row r="34" spans="1:6" x14ac:dyDescent="0.25">
      <c r="A34" t="s">
        <v>61</v>
      </c>
      <c r="B34">
        <v>-8.8803427834651671E-2</v>
      </c>
      <c r="C34">
        <v>-0.28260869565216806</v>
      </c>
      <c r="D34" s="11" t="s">
        <v>348</v>
      </c>
      <c r="E34">
        <f t="shared" si="0"/>
        <v>63.979384130794209</v>
      </c>
      <c r="F34" s="10">
        <f t="shared" si="1"/>
        <v>2.6932678510706038</v>
      </c>
    </row>
    <row r="35" spans="1:6" x14ac:dyDescent="0.25">
      <c r="A35" t="s">
        <v>62</v>
      </c>
      <c r="B35">
        <v>-1.089267640082328E-3</v>
      </c>
      <c r="C35">
        <v>0</v>
      </c>
      <c r="D35" s="11" t="s">
        <v>348</v>
      </c>
      <c r="E35">
        <f t="shared" si="0"/>
        <v>0.1089267640082328</v>
      </c>
      <c r="F35" s="10">
        <f t="shared" si="1"/>
        <v>4.5853669210817738E-3</v>
      </c>
    </row>
    <row r="36" spans="1:6" x14ac:dyDescent="0.25">
      <c r="A36" t="s">
        <v>63</v>
      </c>
      <c r="B36">
        <v>-1.2847508114130019E-4</v>
      </c>
      <c r="C36">
        <v>0</v>
      </c>
      <c r="D36" s="11" t="s">
        <v>348</v>
      </c>
      <c r="E36">
        <f t="shared" si="0"/>
        <v>1.2847508114130018E-2</v>
      </c>
      <c r="F36" s="10">
        <f t="shared" si="1"/>
        <v>5.4082703421180257E-4</v>
      </c>
    </row>
    <row r="37" spans="1:6" x14ac:dyDescent="0.25">
      <c r="A37" t="s">
        <v>64</v>
      </c>
      <c r="B37">
        <v>-1.1491842800073154E-4</v>
      </c>
      <c r="C37">
        <v>1.6683368143254431E-32</v>
      </c>
      <c r="D37" s="11" t="s">
        <v>348</v>
      </c>
      <c r="E37">
        <f t="shared" si="0"/>
        <v>1.1491842800073154E-2</v>
      </c>
      <c r="F37" s="10">
        <f t="shared" si="1"/>
        <v>4.8375912309067123E-4</v>
      </c>
    </row>
    <row r="38" spans="1:6" x14ac:dyDescent="0.25">
      <c r="A38" t="s">
        <v>65</v>
      </c>
      <c r="B38">
        <v>-3.8306142666911657E-4</v>
      </c>
      <c r="C38">
        <v>0</v>
      </c>
      <c r="D38" s="11" t="s">
        <v>348</v>
      </c>
      <c r="E38">
        <f t="shared" si="0"/>
        <v>3.8306142666911659E-2</v>
      </c>
      <c r="F38" s="10">
        <f t="shared" si="1"/>
        <v>1.6125304103022857E-3</v>
      </c>
    </row>
    <row r="39" spans="1:6" x14ac:dyDescent="0.25">
      <c r="A39" t="s">
        <v>66</v>
      </c>
      <c r="B39">
        <v>0.12650271366888738</v>
      </c>
      <c r="C39">
        <v>1.7889335846010823E-15</v>
      </c>
      <c r="D39" s="11" t="s">
        <v>348</v>
      </c>
      <c r="E39">
        <f t="shared" si="0"/>
        <v>-12.650271366889086</v>
      </c>
      <c r="F39" s="10">
        <f t="shared" si="1"/>
        <v>-0.53252418169750237</v>
      </c>
    </row>
    <row r="40" spans="1:6" x14ac:dyDescent="0.25">
      <c r="A40" t="s">
        <v>326</v>
      </c>
      <c r="B40">
        <v>0.58122158700910398</v>
      </c>
      <c r="C40">
        <v>0.14130434782608722</v>
      </c>
      <c r="D40" s="11" t="s">
        <v>348</v>
      </c>
      <c r="E40">
        <f t="shared" si="0"/>
        <v>-85.671679374575547</v>
      </c>
      <c r="F40" s="10">
        <f t="shared" si="1"/>
        <v>-3.6064238964081539</v>
      </c>
    </row>
    <row r="41" spans="1:6" x14ac:dyDescent="0.25">
      <c r="A41" t="s">
        <v>67</v>
      </c>
      <c r="B41">
        <v>5.0117253360663333E-2</v>
      </c>
      <c r="C41">
        <v>2.2423186495995245E-16</v>
      </c>
      <c r="D41" s="11" t="s">
        <v>348</v>
      </c>
      <c r="E41">
        <f t="shared" si="0"/>
        <v>-5.0117253360663767</v>
      </c>
      <c r="F41" s="10">
        <f t="shared" si="1"/>
        <v>-0.21097293932104053</v>
      </c>
    </row>
    <row r="42" spans="1:6" x14ac:dyDescent="0.25">
      <c r="A42" t="s">
        <v>327</v>
      </c>
      <c r="B42">
        <v>-5.0117253360663333E-2</v>
      </c>
      <c r="C42">
        <v>-2.2423186495995245E-16</v>
      </c>
      <c r="D42" s="11" t="s">
        <v>348</v>
      </c>
      <c r="E42">
        <f t="shared" si="0"/>
        <v>5.0117253360663767</v>
      </c>
      <c r="F42" s="10">
        <f t="shared" si="1"/>
        <v>0.21097293932104053</v>
      </c>
    </row>
    <row r="43" spans="1:6" x14ac:dyDescent="0.25">
      <c r="A43" t="s">
        <v>68</v>
      </c>
      <c r="B43">
        <v>-1.5140571462332539E-3</v>
      </c>
      <c r="C43">
        <v>0</v>
      </c>
      <c r="D43" s="11" t="s">
        <v>348</v>
      </c>
      <c r="E43">
        <f t="shared" si="0"/>
        <v>0.15140571462332539</v>
      </c>
      <c r="F43" s="10">
        <f t="shared" si="1"/>
        <v>6.3735553132200917E-3</v>
      </c>
    </row>
    <row r="44" spans="1:6" x14ac:dyDescent="0.25">
      <c r="A44" t="s">
        <v>69</v>
      </c>
      <c r="B44">
        <v>-0.2417285934273368</v>
      </c>
      <c r="C44">
        <v>-3.1246706611032238E-15</v>
      </c>
      <c r="D44" s="11" t="s">
        <v>348</v>
      </c>
      <c r="E44">
        <f t="shared" si="0"/>
        <v>24.172859342734288</v>
      </c>
      <c r="F44" s="10">
        <f t="shared" si="1"/>
        <v>1.0175775497173385</v>
      </c>
    </row>
    <row r="45" spans="1:6" x14ac:dyDescent="0.25">
      <c r="A45" t="s">
        <v>71</v>
      </c>
      <c r="B45">
        <v>4.2930185801550037E-2</v>
      </c>
      <c r="C45">
        <v>0</v>
      </c>
      <c r="D45" s="11" t="s">
        <v>348</v>
      </c>
      <c r="E45">
        <f t="shared" si="0"/>
        <v>-4.293018580155004</v>
      </c>
      <c r="F45" s="10">
        <f t="shared" si="1"/>
        <v>-0.18071835299857417</v>
      </c>
    </row>
    <row r="46" spans="1:6" x14ac:dyDescent="0.25">
      <c r="A46" t="s">
        <v>72</v>
      </c>
      <c r="B46">
        <v>0.10892843653269815</v>
      </c>
      <c r="C46">
        <v>4.653395724307785E-16</v>
      </c>
      <c r="D46" s="11" t="s">
        <v>348</v>
      </c>
      <c r="E46">
        <f t="shared" si="0"/>
        <v>-10.892843653269907</v>
      </c>
      <c r="F46" s="10">
        <f t="shared" si="1"/>
        <v>-0.45854373274546439</v>
      </c>
    </row>
    <row r="47" spans="1:6" x14ac:dyDescent="0.25">
      <c r="A47" t="s">
        <v>73</v>
      </c>
      <c r="B47">
        <v>-1.0892676400823392E-3</v>
      </c>
      <c r="C47">
        <v>0</v>
      </c>
      <c r="D47" s="11" t="s">
        <v>348</v>
      </c>
      <c r="E47">
        <f t="shared" si="0"/>
        <v>0.10892676400823392</v>
      </c>
      <c r="F47" s="10">
        <f t="shared" si="1"/>
        <v>4.5853669210818206E-3</v>
      </c>
    </row>
    <row r="48" spans="1:6" x14ac:dyDescent="0.25">
      <c r="A48" t="s">
        <v>74</v>
      </c>
      <c r="B48">
        <v>-0.12436081684937342</v>
      </c>
      <c r="C48">
        <v>-1.3977345850783513E-15</v>
      </c>
      <c r="D48" s="11" t="s">
        <v>348</v>
      </c>
      <c r="E48">
        <f t="shared" si="0"/>
        <v>12.436081684937614</v>
      </c>
      <c r="F48" s="10">
        <f t="shared" si="1"/>
        <v>0.52350768064379372</v>
      </c>
    </row>
    <row r="49" spans="1:6" x14ac:dyDescent="0.25">
      <c r="A49" t="s">
        <v>75</v>
      </c>
      <c r="B49">
        <v>-2.4963078811950666E-2</v>
      </c>
      <c r="C49">
        <v>1.3823483420740561E-15</v>
      </c>
      <c r="D49" s="11" t="s">
        <v>348</v>
      </c>
      <c r="E49">
        <f t="shared" si="0"/>
        <v>2.496307881194797</v>
      </c>
      <c r="F49" s="10">
        <f t="shared" si="1"/>
        <v>0.10508425259379976</v>
      </c>
    </row>
    <row r="50" spans="1:6" x14ac:dyDescent="0.25">
      <c r="A50" t="s">
        <v>76</v>
      </c>
      <c r="B50">
        <v>-1.0670465264971816E-2</v>
      </c>
      <c r="C50">
        <v>-1.0930266353850307E-15</v>
      </c>
      <c r="D50" s="11" t="s">
        <v>348</v>
      </c>
      <c r="E50">
        <f t="shared" si="0"/>
        <v>1.0670465264973947</v>
      </c>
      <c r="F50" s="10">
        <f t="shared" si="1"/>
        <v>4.4918252097221556E-2</v>
      </c>
    </row>
    <row r="51" spans="1:6" x14ac:dyDescent="0.25">
      <c r="A51" t="s">
        <v>77</v>
      </c>
      <c r="B51">
        <v>-1.0892676400823392E-3</v>
      </c>
      <c r="C51">
        <v>0</v>
      </c>
      <c r="D51" s="11" t="s">
        <v>348</v>
      </c>
      <c r="E51">
        <f t="shared" si="0"/>
        <v>0.10892676400823392</v>
      </c>
      <c r="F51" s="10">
        <f t="shared" si="1"/>
        <v>4.5853669210818206E-3</v>
      </c>
    </row>
    <row r="52" spans="1:6" x14ac:dyDescent="0.25">
      <c r="A52" t="s">
        <v>78</v>
      </c>
      <c r="B52">
        <v>-1.0892676400824418E-3</v>
      </c>
      <c r="C52">
        <v>-9.7597051213651347E-17</v>
      </c>
      <c r="D52" s="11" t="s">
        <v>348</v>
      </c>
      <c r="E52">
        <f t="shared" si="0"/>
        <v>0.1089267640082632</v>
      </c>
      <c r="F52" s="10">
        <f t="shared" si="1"/>
        <v>4.585366921083054E-3</v>
      </c>
    </row>
    <row r="53" spans="1:6" x14ac:dyDescent="0.25">
      <c r="A53" t="s">
        <v>79</v>
      </c>
      <c r="B53">
        <v>-2.7528311749690157E-3</v>
      </c>
      <c r="C53">
        <v>6.7654215563095477E-17</v>
      </c>
      <c r="D53" s="11" t="s">
        <v>348</v>
      </c>
      <c r="E53">
        <f t="shared" si="0"/>
        <v>0.27528311749688839</v>
      </c>
      <c r="F53" s="10">
        <f t="shared" si="1"/>
        <v>1.1588282387670078E-2</v>
      </c>
    </row>
    <row r="54" spans="1:6" x14ac:dyDescent="0.25">
      <c r="A54" t="s">
        <v>80</v>
      </c>
      <c r="B54">
        <v>-2.7528311749689914E-3</v>
      </c>
      <c r="C54">
        <v>7.1123662515049091E-17</v>
      </c>
      <c r="D54" s="11" t="s">
        <v>348</v>
      </c>
      <c r="E54">
        <f t="shared" si="0"/>
        <v>0.27528311749688528</v>
      </c>
      <c r="F54" s="10">
        <f t="shared" si="1"/>
        <v>1.1588282387669948E-2</v>
      </c>
    </row>
    <row r="55" spans="1:6" x14ac:dyDescent="0.25">
      <c r="A55" t="s">
        <v>81</v>
      </c>
      <c r="B55">
        <v>-3.7730918052168199</v>
      </c>
      <c r="C55">
        <v>-1.8478260869565257</v>
      </c>
      <c r="D55" s="11" t="s">
        <v>348</v>
      </c>
      <c r="E55">
        <f t="shared" si="0"/>
        <v>737.57214317730313</v>
      </c>
      <c r="F55" s="10">
        <f t="shared" si="1"/>
        <v>31.048741216446839</v>
      </c>
    </row>
    <row r="56" spans="1:6" x14ac:dyDescent="0.25">
      <c r="A56" t="s">
        <v>82</v>
      </c>
      <c r="B56">
        <v>-6.0856617382719549E-3</v>
      </c>
      <c r="C56">
        <v>1.5687934043616391E-17</v>
      </c>
      <c r="D56" s="11" t="s">
        <v>348</v>
      </c>
      <c r="E56">
        <f t="shared" si="0"/>
        <v>0.60856617382719236</v>
      </c>
      <c r="F56" s="10">
        <f t="shared" si="1"/>
        <v>2.5618122673189848E-2</v>
      </c>
    </row>
    <row r="57" spans="1:6" x14ac:dyDescent="0.25">
      <c r="A57" t="s">
        <v>83</v>
      </c>
      <c r="B57">
        <v>-1.1825820915136469E-3</v>
      </c>
      <c r="C57">
        <v>5.3248468436509038E-17</v>
      </c>
      <c r="D57" s="11" t="s">
        <v>348</v>
      </c>
      <c r="E57">
        <f t="shared" si="0"/>
        <v>0.11825820915135431</v>
      </c>
      <c r="F57" s="10">
        <f t="shared" si="1"/>
        <v>4.9781822247836676E-3</v>
      </c>
    </row>
    <row r="58" spans="1:6" x14ac:dyDescent="0.25">
      <c r="A58" t="s">
        <v>84</v>
      </c>
      <c r="B58">
        <v>-1.784015906835914E-3</v>
      </c>
      <c r="C58">
        <v>2.7415612758352302E-31</v>
      </c>
      <c r="D58" s="11" t="s">
        <v>348</v>
      </c>
      <c r="E58">
        <f t="shared" si="0"/>
        <v>0.1784015906835914</v>
      </c>
      <c r="F58" s="10">
        <f t="shared" si="1"/>
        <v>7.5099702083051166E-3</v>
      </c>
    </row>
    <row r="59" spans="1:6" x14ac:dyDescent="0.25">
      <c r="A59" t="s">
        <v>328</v>
      </c>
      <c r="B59">
        <v>-0.23201577002519796</v>
      </c>
      <c r="C59">
        <v>-2.054779957294528E-15</v>
      </c>
      <c r="D59" s="11" t="s">
        <v>348</v>
      </c>
      <c r="E59">
        <f t="shared" si="0"/>
        <v>23.201577002520199</v>
      </c>
      <c r="F59" s="10">
        <f t="shared" si="1"/>
        <v>0.97669057437754081</v>
      </c>
    </row>
    <row r="60" spans="1:6" x14ac:dyDescent="0.25">
      <c r="A60" t="s">
        <v>85</v>
      </c>
      <c r="B60">
        <v>-4.5071850070409593E-3</v>
      </c>
      <c r="C60">
        <v>-2.6594065114321749E-16</v>
      </c>
      <c r="D60" s="11" t="s">
        <v>348</v>
      </c>
      <c r="E60">
        <f t="shared" si="0"/>
        <v>0.45071850070414776</v>
      </c>
      <c r="F60" s="10">
        <f t="shared" si="1"/>
        <v>1.8973387511008473E-2</v>
      </c>
    </row>
    <row r="61" spans="1:6" x14ac:dyDescent="0.25">
      <c r="A61" t="s">
        <v>86</v>
      </c>
      <c r="B61">
        <v>-7.4176528462835314E-3</v>
      </c>
      <c r="C61">
        <v>-1.2674293755758665E-31</v>
      </c>
      <c r="D61" s="11" t="s">
        <v>348</v>
      </c>
      <c r="E61">
        <f t="shared" si="0"/>
        <v>0.74176528462835312</v>
      </c>
      <c r="F61" s="10">
        <f t="shared" si="1"/>
        <v>3.1225255154780748E-2</v>
      </c>
    </row>
    <row r="62" spans="1:6" x14ac:dyDescent="0.25">
      <c r="A62" t="s">
        <v>87</v>
      </c>
      <c r="B62">
        <v>-7.4176528462835314E-3</v>
      </c>
      <c r="C62">
        <v>-1.2674293755758665E-31</v>
      </c>
      <c r="D62" s="11" t="s">
        <v>348</v>
      </c>
      <c r="E62">
        <f t="shared" si="0"/>
        <v>0.74176528462835312</v>
      </c>
      <c r="F62" s="10">
        <f t="shared" si="1"/>
        <v>3.1225255154780748E-2</v>
      </c>
    </row>
    <row r="63" spans="1:6" x14ac:dyDescent="0.25">
      <c r="A63" t="s">
        <v>88</v>
      </c>
      <c r="B63">
        <v>-2.7528311749695712E-3</v>
      </c>
      <c r="C63">
        <v>0</v>
      </c>
      <c r="D63" s="11" t="s">
        <v>348</v>
      </c>
      <c r="E63">
        <f t="shared" si="0"/>
        <v>0.27528311749695711</v>
      </c>
      <c r="F63" s="10">
        <f t="shared" si="1"/>
        <v>1.1588282387672972E-2</v>
      </c>
    </row>
    <row r="64" spans="1:6" x14ac:dyDescent="0.25">
      <c r="A64" t="s">
        <v>89</v>
      </c>
      <c r="B64">
        <v>-6.0856617382720728E-3</v>
      </c>
      <c r="C64">
        <v>-3.0898615194734815E-32</v>
      </c>
      <c r="D64" s="11" t="s">
        <v>348</v>
      </c>
      <c r="E64">
        <f t="shared" si="0"/>
        <v>0.60856617382720724</v>
      </c>
      <c r="F64" s="10">
        <f t="shared" si="1"/>
        <v>2.5618122673190472E-2</v>
      </c>
    </row>
    <row r="65" spans="1:6" x14ac:dyDescent="0.25">
      <c r="A65" t="s">
        <v>90</v>
      </c>
      <c r="B65">
        <v>-0.44332902268573149</v>
      </c>
      <c r="C65">
        <v>-5.5233595475101538E-15</v>
      </c>
      <c r="D65" s="11" t="s">
        <v>348</v>
      </c>
      <c r="E65">
        <f t="shared" si="0"/>
        <v>44.33290226857423</v>
      </c>
      <c r="F65" s="10">
        <f t="shared" si="1"/>
        <v>1.8662321003358466</v>
      </c>
    </row>
    <row r="66" spans="1:6" x14ac:dyDescent="0.25">
      <c r="A66" t="s">
        <v>329</v>
      </c>
      <c r="B66">
        <v>-0.23201577002519796</v>
      </c>
      <c r="C66">
        <v>-2.054779957294528E-15</v>
      </c>
      <c r="D66" s="11" t="s">
        <v>348</v>
      </c>
      <c r="E66">
        <f t="shared" si="0"/>
        <v>23.201577002520199</v>
      </c>
      <c r="F66" s="10">
        <f t="shared" si="1"/>
        <v>0.97669057437754081</v>
      </c>
    </row>
    <row r="67" spans="1:6" x14ac:dyDescent="0.25">
      <c r="A67" t="s">
        <v>91</v>
      </c>
      <c r="B67">
        <v>-2.2710857193502807E-3</v>
      </c>
      <c r="C67">
        <v>-2.5326962749261019E-16</v>
      </c>
      <c r="D67" s="11" t="s">
        <v>348</v>
      </c>
      <c r="E67">
        <f t="shared" si="0"/>
        <v>0.22710857193507744</v>
      </c>
      <c r="F67" s="10">
        <f t="shared" si="1"/>
        <v>9.5603329698338985E-3</v>
      </c>
    </row>
    <row r="68" spans="1:6" x14ac:dyDescent="0.25">
      <c r="A68" t="s">
        <v>92</v>
      </c>
      <c r="B68">
        <v>-3.3251927297234881E-3</v>
      </c>
      <c r="C68">
        <v>2.9233861708199916E-16</v>
      </c>
      <c r="D68" s="11" t="s">
        <v>348</v>
      </c>
      <c r="E68">
        <f t="shared" si="0"/>
        <v>0.33251927297229178</v>
      </c>
      <c r="F68" s="10">
        <f t="shared" si="1"/>
        <v>1.3997688160405346E-2</v>
      </c>
    </row>
    <row r="69" spans="1:6" x14ac:dyDescent="0.25">
      <c r="A69" t="s">
        <v>93</v>
      </c>
      <c r="B69">
        <v>7.2303541072463806E-3</v>
      </c>
      <c r="C69">
        <v>3.134569898330133E-16</v>
      </c>
      <c r="D69" s="11" t="s">
        <v>348</v>
      </c>
      <c r="E69">
        <f t="shared" si="0"/>
        <v>-0.72303541072469912</v>
      </c>
      <c r="F69" s="10">
        <f t="shared" si="1"/>
        <v>-3.0436804813711617E-2</v>
      </c>
    </row>
    <row r="70" spans="1:6" x14ac:dyDescent="0.25">
      <c r="A70" t="s">
        <v>94</v>
      </c>
      <c r="B70">
        <v>-3.3251927297248906E-3</v>
      </c>
      <c r="C70">
        <v>-7.4985307818093239E-16</v>
      </c>
      <c r="D70" s="11" t="s">
        <v>348</v>
      </c>
      <c r="E70">
        <f t="shared" si="0"/>
        <v>0.33251927297263528</v>
      </c>
      <c r="F70" s="10">
        <f t="shared" si="1"/>
        <v>1.3997688160419805E-2</v>
      </c>
    </row>
    <row r="71" spans="1:6" x14ac:dyDescent="0.25">
      <c r="A71" t="s">
        <v>330</v>
      </c>
      <c r="B71">
        <v>-1.2486619260922258</v>
      </c>
      <c r="C71">
        <v>-0.28260869565218349</v>
      </c>
      <c r="D71" s="11" t="s">
        <v>348</v>
      </c>
      <c r="E71">
        <f t="shared" si="0"/>
        <v>179.96523395655464</v>
      </c>
      <c r="F71" s="10">
        <f t="shared" si="1"/>
        <v>7.5757931325928132</v>
      </c>
    </row>
    <row r="72" spans="1:6" x14ac:dyDescent="0.25">
      <c r="A72" t="s">
        <v>95</v>
      </c>
      <c r="B72">
        <v>-0.79585528086156865</v>
      </c>
      <c r="C72">
        <v>-0.42391304347826098</v>
      </c>
      <c r="D72" s="11" t="s">
        <v>348</v>
      </c>
      <c r="E72">
        <f t="shared" si="0"/>
        <v>162.23409010715216</v>
      </c>
      <c r="F72" s="10">
        <f t="shared" si="1"/>
        <v>6.8293852022714123</v>
      </c>
    </row>
    <row r="73" spans="1:6" x14ac:dyDescent="0.25">
      <c r="A73" t="s">
        <v>331</v>
      </c>
      <c r="B73">
        <v>-0.18061249041702179</v>
      </c>
      <c r="C73">
        <v>-1.1722393888913274E-15</v>
      </c>
      <c r="D73" s="11" t="s">
        <v>348</v>
      </c>
      <c r="E73">
        <f t="shared" si="0"/>
        <v>18.061249041702407</v>
      </c>
      <c r="F73" s="10">
        <f t="shared" si="1"/>
        <v>0.76030399565512352</v>
      </c>
    </row>
    <row r="74" spans="1:6" x14ac:dyDescent="0.25">
      <c r="A74" t="s">
        <v>96</v>
      </c>
      <c r="B74">
        <v>-1.2387740287365891E-3</v>
      </c>
      <c r="C74">
        <v>-1.1501970873324459E-16</v>
      </c>
      <c r="D74" s="11" t="s">
        <v>348</v>
      </c>
      <c r="E74">
        <f t="shared" ref="E74:E137" si="2">-SUMPRODUCT(B74:C74,$B$7:$C$7)</f>
        <v>0.12387740287368133</v>
      </c>
      <c r="F74" s="10">
        <f t="shared" ref="F74:F137" si="3">E74/$B$5</f>
        <v>5.2147270744549688E-3</v>
      </c>
    </row>
    <row r="75" spans="1:6" x14ac:dyDescent="0.25">
      <c r="A75" t="s">
        <v>97</v>
      </c>
      <c r="B75">
        <v>-7.5702857311660981E-4</v>
      </c>
      <c r="C75">
        <v>9.0507311790096245E-19</v>
      </c>
      <c r="D75" s="11" t="s">
        <v>348</v>
      </c>
      <c r="E75">
        <f t="shared" si="2"/>
        <v>7.5702857311660807E-2</v>
      </c>
      <c r="F75" s="10">
        <f t="shared" si="3"/>
        <v>3.1867776566099665E-3</v>
      </c>
    </row>
    <row r="76" spans="1:6" x14ac:dyDescent="0.25">
      <c r="A76" t="s">
        <v>98</v>
      </c>
      <c r="B76">
        <v>-1.0323116906135674E-3</v>
      </c>
      <c r="C76">
        <v>9.0507311790096245E-19</v>
      </c>
      <c r="D76" s="11" t="s">
        <v>348</v>
      </c>
      <c r="E76">
        <f t="shared" si="2"/>
        <v>0.10323116906135656</v>
      </c>
      <c r="F76" s="10">
        <f t="shared" si="3"/>
        <v>4.3456058953772652E-3</v>
      </c>
    </row>
    <row r="77" spans="1:6" x14ac:dyDescent="0.25">
      <c r="A77" t="s">
        <v>99</v>
      </c>
      <c r="B77">
        <v>-1.2387740287365891E-3</v>
      </c>
      <c r="C77">
        <v>-1.1501970873324459E-16</v>
      </c>
      <c r="D77" s="11" t="s">
        <v>348</v>
      </c>
      <c r="E77">
        <f t="shared" si="2"/>
        <v>0.12387740287368133</v>
      </c>
      <c r="F77" s="10">
        <f t="shared" si="3"/>
        <v>5.2147270744549688E-3</v>
      </c>
    </row>
    <row r="78" spans="1:6" x14ac:dyDescent="0.25">
      <c r="A78" t="s">
        <v>100</v>
      </c>
      <c r="B78">
        <v>-3.4809614630786179E-3</v>
      </c>
      <c r="C78">
        <v>9.8049587772602903E-19</v>
      </c>
      <c r="D78" s="11" t="s">
        <v>348</v>
      </c>
      <c r="E78">
        <f t="shared" si="2"/>
        <v>0.34809614630786162</v>
      </c>
      <c r="F78" s="10">
        <f t="shared" si="3"/>
        <v>1.4653410198759521E-2</v>
      </c>
    </row>
    <row r="79" spans="1:6" x14ac:dyDescent="0.25">
      <c r="A79" t="s">
        <v>101</v>
      </c>
      <c r="B79">
        <v>-3.6337371509592084E-3</v>
      </c>
      <c r="C79">
        <v>1.1449174941446927E-16</v>
      </c>
      <c r="D79" s="11" t="s">
        <v>348</v>
      </c>
      <c r="E79">
        <f t="shared" si="2"/>
        <v>0.36337371509589855</v>
      </c>
      <c r="F79" s="10">
        <f t="shared" si="3"/>
        <v>1.5296532751724752E-2</v>
      </c>
    </row>
    <row r="80" spans="1:6" x14ac:dyDescent="0.25">
      <c r="A80" t="s">
        <v>102</v>
      </c>
      <c r="B80">
        <v>-4.7899262444462201E-3</v>
      </c>
      <c r="C80">
        <v>2.6541269182445149E-16</v>
      </c>
      <c r="D80" s="11" t="s">
        <v>348</v>
      </c>
      <c r="E80">
        <f t="shared" si="2"/>
        <v>0.47899262444457025</v>
      </c>
      <c r="F80" s="10">
        <f t="shared" si="3"/>
        <v>2.0163611354545283E-2</v>
      </c>
    </row>
    <row r="81" spans="1:6" x14ac:dyDescent="0.25">
      <c r="A81" t="s">
        <v>103</v>
      </c>
      <c r="B81">
        <v>-4.7899262444462201E-3</v>
      </c>
      <c r="C81">
        <v>2.6541269182445149E-16</v>
      </c>
      <c r="D81" s="11" t="s">
        <v>348</v>
      </c>
      <c r="E81">
        <f t="shared" si="2"/>
        <v>0.47899262444457025</v>
      </c>
      <c r="F81" s="10">
        <f t="shared" si="3"/>
        <v>2.0163611354545283E-2</v>
      </c>
    </row>
    <row r="82" spans="1:6" x14ac:dyDescent="0.25">
      <c r="A82" t="s">
        <v>104</v>
      </c>
      <c r="B82">
        <v>-0.11901798916533528</v>
      </c>
      <c r="C82">
        <v>-4.9356654029530494E-16</v>
      </c>
      <c r="D82" s="11" t="s">
        <v>348</v>
      </c>
      <c r="E82">
        <f t="shared" si="2"/>
        <v>11.901798916533624</v>
      </c>
      <c r="F82" s="10">
        <f t="shared" si="3"/>
        <v>0.50101658256473502</v>
      </c>
    </row>
    <row r="83" spans="1:6" x14ac:dyDescent="0.25">
      <c r="A83" t="s">
        <v>105</v>
      </c>
      <c r="B83">
        <v>-3.9126080947429562E-3</v>
      </c>
      <c r="C83">
        <v>0</v>
      </c>
      <c r="D83" s="11" t="s">
        <v>348</v>
      </c>
      <c r="E83">
        <f t="shared" si="2"/>
        <v>0.39126080947429565</v>
      </c>
      <c r="F83" s="10">
        <f t="shared" si="3"/>
        <v>1.6470464257466746E-2</v>
      </c>
    </row>
    <row r="84" spans="1:6" x14ac:dyDescent="0.25">
      <c r="A84" t="s">
        <v>106</v>
      </c>
      <c r="B84">
        <v>-9.2628032545998135E-2</v>
      </c>
      <c r="C84">
        <v>0</v>
      </c>
      <c r="D84" s="11" t="s">
        <v>348</v>
      </c>
      <c r="E84">
        <f t="shared" si="2"/>
        <v>9.2628032545998131</v>
      </c>
      <c r="F84" s="10">
        <f t="shared" si="3"/>
        <v>0.38992576367108817</v>
      </c>
    </row>
    <row r="85" spans="1:6" x14ac:dyDescent="0.25">
      <c r="A85" t="s">
        <v>107</v>
      </c>
      <c r="B85">
        <v>-7.8316952945357999E-3</v>
      </c>
      <c r="C85">
        <v>-4.7124140338708295E-16</v>
      </c>
      <c r="D85" s="11" t="s">
        <v>348</v>
      </c>
      <c r="E85">
        <f t="shared" si="2"/>
        <v>0.78316952945367191</v>
      </c>
      <c r="F85" s="10">
        <f t="shared" si="3"/>
        <v>3.2968202871468982E-2</v>
      </c>
    </row>
    <row r="86" spans="1:6" x14ac:dyDescent="0.25">
      <c r="A86" t="s">
        <v>108</v>
      </c>
      <c r="B86">
        <v>-4.2314152571597825E-2</v>
      </c>
      <c r="C86">
        <v>-2.1118372751021588E-17</v>
      </c>
      <c r="D86" s="11" t="s">
        <v>348</v>
      </c>
      <c r="E86">
        <f t="shared" si="2"/>
        <v>4.2314152571597869</v>
      </c>
      <c r="F86" s="10">
        <f t="shared" si="3"/>
        <v>0.17812510750869956</v>
      </c>
    </row>
    <row r="87" spans="1:6" x14ac:dyDescent="0.25">
      <c r="A87" t="s">
        <v>109</v>
      </c>
      <c r="B87">
        <v>6.446277354224322E-4</v>
      </c>
      <c r="C87">
        <v>2.0684691882027578E-16</v>
      </c>
      <c r="D87" s="11" t="s">
        <v>348</v>
      </c>
      <c r="E87">
        <f t="shared" si="2"/>
        <v>-6.4462773542283552E-2</v>
      </c>
      <c r="F87" s="10">
        <f t="shared" si="3"/>
        <v>-2.713616549001967E-3</v>
      </c>
    </row>
    <row r="88" spans="1:6" x14ac:dyDescent="0.25">
      <c r="A88" t="s">
        <v>110</v>
      </c>
      <c r="B88">
        <v>7.1870675591133989E-3</v>
      </c>
      <c r="C88">
        <v>2.5206286333540703E-16</v>
      </c>
      <c r="D88" s="11" t="s">
        <v>348</v>
      </c>
      <c r="E88">
        <f t="shared" si="2"/>
        <v>-0.71870675591138911</v>
      </c>
      <c r="F88" s="10">
        <f t="shared" si="3"/>
        <v>-3.025458632246705E-2</v>
      </c>
    </row>
    <row r="89" spans="1:6" x14ac:dyDescent="0.25">
      <c r="A89" t="s">
        <v>111</v>
      </c>
      <c r="B89">
        <v>-5.0632767737425225E-3</v>
      </c>
      <c r="C89">
        <v>0</v>
      </c>
      <c r="D89" s="11" t="s">
        <v>348</v>
      </c>
      <c r="E89">
        <f t="shared" si="2"/>
        <v>0.50632767737425222</v>
      </c>
      <c r="F89" s="10">
        <f t="shared" si="3"/>
        <v>2.1314304195106579E-2</v>
      </c>
    </row>
    <row r="90" spans="1:6" x14ac:dyDescent="0.25">
      <c r="A90" t="s">
        <v>112</v>
      </c>
      <c r="B90">
        <v>-2.2710857193498821E-3</v>
      </c>
      <c r="C90">
        <v>7.3461768069626702E-17</v>
      </c>
      <c r="D90" s="11" t="s">
        <v>348</v>
      </c>
      <c r="E90">
        <f t="shared" si="2"/>
        <v>0.22710857193497389</v>
      </c>
      <c r="F90" s="10">
        <f t="shared" si="3"/>
        <v>9.5603329698295391E-3</v>
      </c>
    </row>
    <row r="91" spans="1:6" x14ac:dyDescent="0.25">
      <c r="A91" t="s">
        <v>113</v>
      </c>
      <c r="B91">
        <v>-1.7574277136188966E-2</v>
      </c>
      <c r="C91">
        <v>-1.2722311127294159E-15</v>
      </c>
      <c r="D91" s="11" t="s">
        <v>348</v>
      </c>
      <c r="E91">
        <f t="shared" si="2"/>
        <v>1.7574277136191445</v>
      </c>
      <c r="F91" s="10">
        <f t="shared" si="3"/>
        <v>7.3980448952036537E-2</v>
      </c>
    </row>
    <row r="92" spans="1:6" x14ac:dyDescent="0.25">
      <c r="A92" t="s">
        <v>114</v>
      </c>
      <c r="B92">
        <v>-5.8978120882687921E-3</v>
      </c>
      <c r="C92">
        <v>9.8049587772602903E-19</v>
      </c>
      <c r="D92" s="11" t="s">
        <v>348</v>
      </c>
      <c r="E92">
        <f t="shared" si="2"/>
        <v>0.58978120882687901</v>
      </c>
      <c r="F92" s="10">
        <f t="shared" si="3"/>
        <v>2.4827353224465516E-2</v>
      </c>
    </row>
    <row r="93" spans="1:6" x14ac:dyDescent="0.25">
      <c r="A93" t="s">
        <v>115</v>
      </c>
      <c r="B93">
        <v>-1.1825820915139411E-3</v>
      </c>
      <c r="C93">
        <v>-2.7152193537023001E-17</v>
      </c>
      <c r="D93" s="11" t="s">
        <v>348</v>
      </c>
      <c r="E93">
        <f t="shared" si="2"/>
        <v>0.1182582091513994</v>
      </c>
      <c r="F93" s="10">
        <f t="shared" si="3"/>
        <v>4.9781822247855663E-3</v>
      </c>
    </row>
    <row r="94" spans="1:6" x14ac:dyDescent="0.25">
      <c r="A94" t="s">
        <v>116</v>
      </c>
      <c r="B94">
        <v>-1.4039438992344885E-3</v>
      </c>
      <c r="C94">
        <v>-5.7245874707234634E-17</v>
      </c>
      <c r="D94" s="11" t="s">
        <v>348</v>
      </c>
      <c r="E94">
        <f t="shared" si="2"/>
        <v>0.14039438992346001</v>
      </c>
      <c r="F94" s="10">
        <f t="shared" si="3"/>
        <v>5.9100240177137166E-3</v>
      </c>
    </row>
    <row r="95" spans="1:6" x14ac:dyDescent="0.25">
      <c r="A95" t="s">
        <v>117</v>
      </c>
      <c r="B95">
        <v>-2.2297932517258371E-3</v>
      </c>
      <c r="C95">
        <v>1.1362438767648086E-16</v>
      </c>
      <c r="D95" s="11" t="s">
        <v>348</v>
      </c>
      <c r="E95">
        <f t="shared" si="2"/>
        <v>0.22297932517256155</v>
      </c>
      <c r="F95" s="10">
        <f t="shared" si="3"/>
        <v>9.3865087340162141E-3</v>
      </c>
    </row>
    <row r="96" spans="1:6" x14ac:dyDescent="0.25">
      <c r="A96" t="s">
        <v>118</v>
      </c>
      <c r="B96">
        <v>-2.2297932517258371E-3</v>
      </c>
      <c r="C96">
        <v>1.1362438767648086E-16</v>
      </c>
      <c r="D96" s="11" t="s">
        <v>348</v>
      </c>
      <c r="E96">
        <f t="shared" si="2"/>
        <v>0.22297932517256155</v>
      </c>
      <c r="F96" s="10">
        <f t="shared" si="3"/>
        <v>9.3865087340162141E-3</v>
      </c>
    </row>
    <row r="97" spans="1:6" x14ac:dyDescent="0.25">
      <c r="A97" t="s">
        <v>119</v>
      </c>
      <c r="B97">
        <v>6.446277354222687E-4</v>
      </c>
      <c r="C97">
        <v>1.3379997592968698E-16</v>
      </c>
      <c r="D97" s="11" t="s">
        <v>348</v>
      </c>
      <c r="E97">
        <f t="shared" si="2"/>
        <v>-6.4462773542252966E-2</v>
      </c>
      <c r="F97" s="10">
        <f t="shared" si="3"/>
        <v>-2.7136165490006794E-3</v>
      </c>
    </row>
    <row r="98" spans="1:6" x14ac:dyDescent="0.25">
      <c r="A98" t="s">
        <v>120</v>
      </c>
      <c r="B98">
        <v>-2.891884892245444E-4</v>
      </c>
      <c r="C98">
        <v>5.450048624960122E-16</v>
      </c>
      <c r="D98" s="11" t="s">
        <v>348</v>
      </c>
      <c r="E98">
        <f t="shared" si="2"/>
        <v>2.8918848922348181E-2</v>
      </c>
      <c r="F98" s="10">
        <f t="shared" si="3"/>
        <v>1.2173641111221695E-3</v>
      </c>
    </row>
    <row r="99" spans="1:6" x14ac:dyDescent="0.25">
      <c r="A99" t="s">
        <v>121</v>
      </c>
      <c r="B99">
        <v>-1.0775885937854697E-2</v>
      </c>
      <c r="C99">
        <v>4.4695527472341159E-16</v>
      </c>
      <c r="D99" s="11" t="s">
        <v>348</v>
      </c>
      <c r="E99">
        <f t="shared" si="2"/>
        <v>1.0775885937853826</v>
      </c>
      <c r="F99" s="10">
        <f t="shared" si="3"/>
        <v>4.5362029593618167E-2</v>
      </c>
    </row>
    <row r="100" spans="1:6" x14ac:dyDescent="0.25">
      <c r="A100" t="s">
        <v>122</v>
      </c>
      <c r="B100">
        <v>6.446277354224322E-4</v>
      </c>
      <c r="C100">
        <v>2.0684691882027578E-16</v>
      </c>
      <c r="D100" s="11" t="s">
        <v>348</v>
      </c>
      <c r="E100">
        <f t="shared" si="2"/>
        <v>-6.4462773542283552E-2</v>
      </c>
      <c r="F100" s="10">
        <f t="shared" si="3"/>
        <v>-2.713616549001967E-3</v>
      </c>
    </row>
    <row r="101" spans="1:6" x14ac:dyDescent="0.25">
      <c r="A101" t="s">
        <v>123</v>
      </c>
      <c r="B101">
        <v>6.5424398236909442E-3</v>
      </c>
      <c r="C101">
        <v>2.1872600349239371E-18</v>
      </c>
      <c r="D101" s="11" t="s">
        <v>348</v>
      </c>
      <c r="E101">
        <f t="shared" si="2"/>
        <v>-0.65424398236909487</v>
      </c>
      <c r="F101" s="10">
        <f t="shared" si="3"/>
        <v>-2.7540969773464631E-2</v>
      </c>
    </row>
    <row r="102" spans="1:6" x14ac:dyDescent="0.25">
      <c r="A102" t="s">
        <v>124</v>
      </c>
      <c r="B102">
        <v>5.2870084535632397E-2</v>
      </c>
      <c r="C102">
        <v>1.8214596497756474E-16</v>
      </c>
      <c r="D102" s="11" t="s">
        <v>348</v>
      </c>
      <c r="E102">
        <f t="shared" si="2"/>
        <v>-5.2870084535632751</v>
      </c>
      <c r="F102" s="10">
        <f t="shared" si="3"/>
        <v>-0.22256122170871104</v>
      </c>
    </row>
    <row r="103" spans="1:6" x14ac:dyDescent="0.25">
      <c r="A103" t="s">
        <v>332</v>
      </c>
      <c r="B103">
        <v>-0.27760414166747049</v>
      </c>
      <c r="C103">
        <v>-0.14130434782608589</v>
      </c>
      <c r="D103" s="11" t="s">
        <v>348</v>
      </c>
      <c r="E103">
        <f t="shared" si="2"/>
        <v>55.309934840411934</v>
      </c>
      <c r="F103" s="10">
        <f t="shared" si="3"/>
        <v>2.3283198388712312</v>
      </c>
    </row>
    <row r="104" spans="1:6" x14ac:dyDescent="0.25">
      <c r="A104" t="s">
        <v>333</v>
      </c>
      <c r="B104">
        <v>-0.23201577002519796</v>
      </c>
      <c r="C104">
        <v>-2.054779957294528E-15</v>
      </c>
      <c r="D104" s="11" t="s">
        <v>348</v>
      </c>
      <c r="E104">
        <f t="shared" si="2"/>
        <v>23.201577002520199</v>
      </c>
      <c r="F104" s="10">
        <f t="shared" si="3"/>
        <v>0.97669057437754081</v>
      </c>
    </row>
    <row r="105" spans="1:6" x14ac:dyDescent="0.25">
      <c r="A105" t="s">
        <v>125</v>
      </c>
      <c r="B105">
        <v>-6.0134118728861997E-4</v>
      </c>
      <c r="C105">
        <v>0</v>
      </c>
      <c r="D105" s="11" t="s">
        <v>348</v>
      </c>
      <c r="E105">
        <f t="shared" si="2"/>
        <v>6.0134118728861999E-2</v>
      </c>
      <c r="F105" s="10">
        <f t="shared" si="3"/>
        <v>2.5313980577527052E-3</v>
      </c>
    </row>
    <row r="106" spans="1:6" x14ac:dyDescent="0.25">
      <c r="A106" t="s">
        <v>126</v>
      </c>
      <c r="B106">
        <v>-1.8155094379015636E-3</v>
      </c>
      <c r="C106">
        <v>0</v>
      </c>
      <c r="D106" s="11" t="s">
        <v>348</v>
      </c>
      <c r="E106">
        <f t="shared" si="2"/>
        <v>0.18155094379015635</v>
      </c>
      <c r="F106" s="10">
        <f t="shared" si="3"/>
        <v>7.6425449679533288E-3</v>
      </c>
    </row>
    <row r="107" spans="1:6" x14ac:dyDescent="0.25">
      <c r="A107" t="s">
        <v>127</v>
      </c>
      <c r="B107">
        <v>-2.7231691002058194E-3</v>
      </c>
      <c r="C107">
        <v>0</v>
      </c>
      <c r="D107" s="11" t="s">
        <v>348</v>
      </c>
      <c r="E107">
        <f t="shared" si="2"/>
        <v>0.27231691002058195</v>
      </c>
      <c r="F107" s="10">
        <f t="shared" si="3"/>
        <v>1.1463417302704433E-2</v>
      </c>
    </row>
    <row r="108" spans="1:6" x14ac:dyDescent="0.25">
      <c r="A108" t="s">
        <v>128</v>
      </c>
      <c r="B108">
        <v>-2.7231691002058194E-3</v>
      </c>
      <c r="C108">
        <v>0</v>
      </c>
      <c r="D108" s="11" t="s">
        <v>348</v>
      </c>
      <c r="E108">
        <f t="shared" si="2"/>
        <v>0.27231691002058195</v>
      </c>
      <c r="F108" s="10">
        <f t="shared" si="3"/>
        <v>1.1463417302704433E-2</v>
      </c>
    </row>
    <row r="109" spans="1:6" x14ac:dyDescent="0.25">
      <c r="A109" t="s">
        <v>129</v>
      </c>
      <c r="B109">
        <v>-2.7231691002058194E-3</v>
      </c>
      <c r="C109">
        <v>0</v>
      </c>
      <c r="D109" s="11" t="s">
        <v>348</v>
      </c>
      <c r="E109">
        <f t="shared" si="2"/>
        <v>0.27231691002058195</v>
      </c>
      <c r="F109" s="10">
        <f t="shared" si="3"/>
        <v>1.1463417302704433E-2</v>
      </c>
    </row>
    <row r="110" spans="1:6" x14ac:dyDescent="0.25">
      <c r="A110" t="s">
        <v>130</v>
      </c>
      <c r="B110">
        <v>-1.9830179719577515E-2</v>
      </c>
      <c r="C110">
        <v>2.4135283144025558E-17</v>
      </c>
      <c r="D110" s="11" t="s">
        <v>348</v>
      </c>
      <c r="E110">
        <f t="shared" si="2"/>
        <v>1.983017971957747</v>
      </c>
      <c r="F110" s="10">
        <f t="shared" si="3"/>
        <v>8.3476867189761272E-2</v>
      </c>
    </row>
    <row r="111" spans="1:6" x14ac:dyDescent="0.25">
      <c r="A111" t="s">
        <v>131</v>
      </c>
      <c r="B111">
        <v>-0.14765798049598175</v>
      </c>
      <c r="C111">
        <v>-2.3724983330576723E-15</v>
      </c>
      <c r="D111" s="11" t="s">
        <v>348</v>
      </c>
      <c r="E111">
        <f t="shared" si="2"/>
        <v>14.765798049598637</v>
      </c>
      <c r="F111" s="10">
        <f t="shared" si="3"/>
        <v>0.62157911837797752</v>
      </c>
    </row>
    <row r="112" spans="1:6" x14ac:dyDescent="0.25">
      <c r="A112" t="s">
        <v>132</v>
      </c>
      <c r="B112">
        <v>-0.27746878884166176</v>
      </c>
      <c r="C112">
        <v>-0.28260869565217017</v>
      </c>
      <c r="D112" s="11" t="s">
        <v>348</v>
      </c>
      <c r="E112">
        <f t="shared" si="2"/>
        <v>82.845920231495626</v>
      </c>
      <c r="F112" s="10">
        <f t="shared" si="3"/>
        <v>3.487471106250505</v>
      </c>
    </row>
    <row r="113" spans="1:6" x14ac:dyDescent="0.25">
      <c r="A113" t="s">
        <v>334</v>
      </c>
      <c r="B113">
        <v>0.58122158700910431</v>
      </c>
      <c r="C113">
        <v>0.14130434782608739</v>
      </c>
      <c r="D113" s="11" t="s">
        <v>348</v>
      </c>
      <c r="E113">
        <f t="shared" si="2"/>
        <v>-85.671679374575604</v>
      </c>
      <c r="F113" s="10">
        <f t="shared" si="3"/>
        <v>-3.6064238964081561</v>
      </c>
    </row>
    <row r="114" spans="1:6" x14ac:dyDescent="0.25">
      <c r="A114" t="s">
        <v>133</v>
      </c>
      <c r="B114">
        <v>-1.2487310680689869</v>
      </c>
      <c r="C114">
        <v>-0.42391304347826086</v>
      </c>
      <c r="D114" s="11" t="s">
        <v>348</v>
      </c>
      <c r="E114">
        <f t="shared" si="2"/>
        <v>207.52166882789396</v>
      </c>
      <c r="F114" s="10">
        <f t="shared" si="3"/>
        <v>8.7358052386389762</v>
      </c>
    </row>
    <row r="115" spans="1:6" x14ac:dyDescent="0.25">
      <c r="A115" t="s">
        <v>134</v>
      </c>
      <c r="B115">
        <v>0</v>
      </c>
      <c r="C115">
        <v>0</v>
      </c>
      <c r="D115" s="11" t="s">
        <v>348</v>
      </c>
      <c r="E115">
        <f t="shared" si="2"/>
        <v>0</v>
      </c>
      <c r="F115" s="10">
        <f t="shared" si="3"/>
        <v>0</v>
      </c>
    </row>
    <row r="116" spans="1:6" x14ac:dyDescent="0.25">
      <c r="A116" t="s">
        <v>135</v>
      </c>
      <c r="B116">
        <v>-0.14386439942306609</v>
      </c>
      <c r="C116">
        <v>-1.7715297827714295E-15</v>
      </c>
      <c r="D116" s="11" t="s">
        <v>348</v>
      </c>
      <c r="E116">
        <f t="shared" si="2"/>
        <v>14.386439942306954</v>
      </c>
      <c r="F116" s="10">
        <f t="shared" si="3"/>
        <v>0.60560970872684716</v>
      </c>
    </row>
    <row r="117" spans="1:6" x14ac:dyDescent="0.25">
      <c r="A117" t="s">
        <v>136</v>
      </c>
      <c r="B117">
        <v>-0.80225454646186511</v>
      </c>
      <c r="C117">
        <v>-0.42391304347826081</v>
      </c>
      <c r="D117" s="11" t="s">
        <v>348</v>
      </c>
      <c r="E117">
        <f t="shared" si="2"/>
        <v>162.87401666718176</v>
      </c>
      <c r="F117" s="10">
        <f t="shared" si="3"/>
        <v>6.8563234676922011</v>
      </c>
    </row>
    <row r="118" spans="1:6" x14ac:dyDescent="0.25">
      <c r="A118" t="s">
        <v>137</v>
      </c>
      <c r="B118">
        <v>-6.6851122291457466E-3</v>
      </c>
      <c r="C118">
        <v>5.5661996750908824E-16</v>
      </c>
      <c r="D118" s="11" t="s">
        <v>348</v>
      </c>
      <c r="E118">
        <f t="shared" si="2"/>
        <v>0.66851122291446619</v>
      </c>
      <c r="F118" s="10">
        <f t="shared" si="3"/>
        <v>2.8141561679847878E-2</v>
      </c>
    </row>
    <row r="119" spans="1:6" x14ac:dyDescent="0.25">
      <c r="A119" t="s">
        <v>138</v>
      </c>
      <c r="B119">
        <v>-1.182582091514117E-3</v>
      </c>
      <c r="C119">
        <v>-1.0151903472455062E-16</v>
      </c>
      <c r="D119" s="11" t="s">
        <v>348</v>
      </c>
      <c r="E119">
        <f t="shared" si="2"/>
        <v>0.11825820915143148</v>
      </c>
      <c r="F119" s="10">
        <f t="shared" si="3"/>
        <v>4.9781822247869168E-3</v>
      </c>
    </row>
    <row r="120" spans="1:6" x14ac:dyDescent="0.25">
      <c r="A120" t="s">
        <v>139</v>
      </c>
      <c r="B120">
        <v>-6.0856617382719549E-3</v>
      </c>
      <c r="C120">
        <v>1.5687934043616391E-17</v>
      </c>
      <c r="D120" s="11" t="s">
        <v>348</v>
      </c>
      <c r="E120">
        <f t="shared" si="2"/>
        <v>0.60856617382719236</v>
      </c>
      <c r="F120" s="10">
        <f t="shared" si="3"/>
        <v>2.5618122673189848E-2</v>
      </c>
    </row>
    <row r="121" spans="1:6" x14ac:dyDescent="0.25">
      <c r="A121" t="s">
        <v>140</v>
      </c>
      <c r="B121">
        <v>-5.4594962382611177E-3</v>
      </c>
      <c r="C121">
        <v>3.9219835109040976E-18</v>
      </c>
      <c r="D121" s="11" t="s">
        <v>348</v>
      </c>
      <c r="E121">
        <f t="shared" si="2"/>
        <v>0.54594962382611101</v>
      </c>
      <c r="F121" s="10">
        <f t="shared" si="3"/>
        <v>2.2982224510773856E-2</v>
      </c>
    </row>
    <row r="122" spans="1:6" x14ac:dyDescent="0.25">
      <c r="A122" t="s">
        <v>141</v>
      </c>
      <c r="B122">
        <v>-0.27760414166747049</v>
      </c>
      <c r="C122">
        <v>-0.14130434782608589</v>
      </c>
      <c r="D122" s="11" t="s">
        <v>348</v>
      </c>
      <c r="E122">
        <f t="shared" si="2"/>
        <v>55.309934840411934</v>
      </c>
      <c r="F122" s="10">
        <f t="shared" si="3"/>
        <v>2.3283198388712312</v>
      </c>
    </row>
    <row r="123" spans="1:6" x14ac:dyDescent="0.25">
      <c r="A123" t="s">
        <v>142</v>
      </c>
      <c r="B123">
        <v>-0.27760414166747049</v>
      </c>
      <c r="C123">
        <v>-0.14130434782608589</v>
      </c>
      <c r="D123" s="11" t="s">
        <v>348</v>
      </c>
      <c r="E123">
        <f t="shared" si="2"/>
        <v>55.309934840411934</v>
      </c>
      <c r="F123" s="10">
        <f t="shared" si="3"/>
        <v>2.3283198388712312</v>
      </c>
    </row>
    <row r="124" spans="1:6" x14ac:dyDescent="0.25">
      <c r="A124" t="s">
        <v>143</v>
      </c>
      <c r="B124">
        <v>-0.72639482681668677</v>
      </c>
      <c r="C124">
        <v>-0.3804347826086959</v>
      </c>
      <c r="D124" s="11" t="s">
        <v>348</v>
      </c>
      <c r="E124">
        <f t="shared" si="2"/>
        <v>146.81126911076706</v>
      </c>
      <c r="F124" s="10">
        <f t="shared" si="3"/>
        <v>6.180148131194513</v>
      </c>
    </row>
    <row r="125" spans="1:6" x14ac:dyDescent="0.25">
      <c r="A125" t="s">
        <v>144</v>
      </c>
      <c r="B125">
        <v>-0.24948208573044101</v>
      </c>
      <c r="C125">
        <v>-0.14130434782608636</v>
      </c>
      <c r="D125" s="11" t="s">
        <v>348</v>
      </c>
      <c r="E125">
        <f t="shared" si="2"/>
        <v>52.497729246709078</v>
      </c>
      <c r="F125" s="10">
        <f t="shared" si="3"/>
        <v>2.2099375971691679</v>
      </c>
    </row>
    <row r="126" spans="1:6" x14ac:dyDescent="0.25">
      <c r="A126" t="s">
        <v>145</v>
      </c>
      <c r="B126">
        <v>-1.7466315705242957E-2</v>
      </c>
      <c r="C126">
        <v>-0.14130434782608423</v>
      </c>
      <c r="D126" s="11" t="s">
        <v>348</v>
      </c>
      <c r="E126">
        <f t="shared" si="2"/>
        <v>29.296152244188853</v>
      </c>
      <c r="F126" s="10">
        <f t="shared" si="3"/>
        <v>1.2332470227916259</v>
      </c>
    </row>
    <row r="127" spans="1:6" x14ac:dyDescent="0.25">
      <c r="A127" t="s">
        <v>146</v>
      </c>
      <c r="B127">
        <v>-2.2132915984909463E-2</v>
      </c>
      <c r="C127">
        <v>-0.14130434782608375</v>
      </c>
      <c r="D127" s="11" t="s">
        <v>348</v>
      </c>
      <c r="E127">
        <f t="shared" si="2"/>
        <v>29.762812272155415</v>
      </c>
      <c r="F127" s="10">
        <f t="shared" si="3"/>
        <v>1.2528914827653679</v>
      </c>
    </row>
    <row r="128" spans="1:6" x14ac:dyDescent="0.25">
      <c r="A128" t="s">
        <v>147</v>
      </c>
      <c r="B128">
        <v>-2.3455455657362897E-2</v>
      </c>
      <c r="C128">
        <v>-3.8013070951839096E-17</v>
      </c>
      <c r="D128" s="11" t="s">
        <v>348</v>
      </c>
      <c r="E128">
        <f t="shared" si="2"/>
        <v>2.3455455657362974</v>
      </c>
      <c r="F128" s="10">
        <f t="shared" si="3"/>
        <v>9.8737781728321289E-2</v>
      </c>
    </row>
    <row r="129" spans="1:6" x14ac:dyDescent="0.25">
      <c r="A129" t="s">
        <v>148</v>
      </c>
      <c r="B129">
        <v>-5.4594962382611177E-3</v>
      </c>
      <c r="C129">
        <v>3.9219835109040976E-18</v>
      </c>
      <c r="D129" s="11" t="s">
        <v>348</v>
      </c>
      <c r="E129">
        <f t="shared" si="2"/>
        <v>0.54594962382611101</v>
      </c>
      <c r="F129" s="10">
        <f t="shared" si="3"/>
        <v>2.2982224510773856E-2</v>
      </c>
    </row>
    <row r="130" spans="1:6" x14ac:dyDescent="0.25">
      <c r="A130" t="s">
        <v>149</v>
      </c>
      <c r="B130">
        <v>-4.7881656472046161E-2</v>
      </c>
      <c r="C130">
        <v>-0.14130434782608389</v>
      </c>
      <c r="D130" s="11" t="s">
        <v>348</v>
      </c>
      <c r="E130">
        <f t="shared" si="2"/>
        <v>32.337686320869111</v>
      </c>
      <c r="F130" s="10">
        <f t="shared" si="3"/>
        <v>1.3612830465506587</v>
      </c>
    </row>
    <row r="131" spans="1:6" x14ac:dyDescent="0.25">
      <c r="A131" t="s">
        <v>150</v>
      </c>
      <c r="B131">
        <v>-9.3566549900470086E-2</v>
      </c>
      <c r="C131">
        <v>-0.42391304347825159</v>
      </c>
      <c r="D131" s="11" t="s">
        <v>348</v>
      </c>
      <c r="E131">
        <f t="shared" si="2"/>
        <v>92.005217011040472</v>
      </c>
      <c r="F131" s="10">
        <f t="shared" si="3"/>
        <v>3.8730396747808382</v>
      </c>
    </row>
    <row r="132" spans="1:6" x14ac:dyDescent="0.25">
      <c r="A132" t="s">
        <v>151</v>
      </c>
      <c r="B132">
        <v>-6.0856617382719549E-3</v>
      </c>
      <c r="C132">
        <v>1.5687934043616391E-17</v>
      </c>
      <c r="D132" s="11" t="s">
        <v>348</v>
      </c>
      <c r="E132">
        <f t="shared" si="2"/>
        <v>0.60856617382719236</v>
      </c>
      <c r="F132" s="10">
        <f t="shared" si="3"/>
        <v>2.5618122673189848E-2</v>
      </c>
    </row>
    <row r="133" spans="1:6" x14ac:dyDescent="0.25">
      <c r="A133" t="s">
        <v>152</v>
      </c>
      <c r="B133">
        <v>-1.7466315705242846E-2</v>
      </c>
      <c r="C133">
        <v>-0.14130434782608414</v>
      </c>
      <c r="D133" s="11" t="s">
        <v>348</v>
      </c>
      <c r="E133">
        <f t="shared" si="2"/>
        <v>29.296152244188825</v>
      </c>
      <c r="F133" s="10">
        <f t="shared" si="3"/>
        <v>1.2332470227916248</v>
      </c>
    </row>
    <row r="134" spans="1:6" x14ac:dyDescent="0.25">
      <c r="A134" t="s">
        <v>153</v>
      </c>
      <c r="B134">
        <v>-1.4203582510603349E-2</v>
      </c>
      <c r="C134">
        <v>-9.8049587772610915E-19</v>
      </c>
      <c r="D134" s="11" t="s">
        <v>348</v>
      </c>
      <c r="E134">
        <f t="shared" si="2"/>
        <v>1.4203582510603352</v>
      </c>
      <c r="F134" s="10">
        <f t="shared" si="3"/>
        <v>5.9791216601324658E-2</v>
      </c>
    </row>
    <row r="135" spans="1:6" x14ac:dyDescent="0.25">
      <c r="A135" t="s">
        <v>154</v>
      </c>
      <c r="B135">
        <v>-3.7923769084982559E-3</v>
      </c>
      <c r="C135">
        <v>0</v>
      </c>
      <c r="D135" s="11" t="s">
        <v>348</v>
      </c>
      <c r="E135">
        <f t="shared" si="2"/>
        <v>0.37923769084982561</v>
      </c>
      <c r="F135" s="10">
        <f t="shared" si="3"/>
        <v>1.5964340616221696E-2</v>
      </c>
    </row>
    <row r="136" spans="1:6" x14ac:dyDescent="0.25">
      <c r="A136" t="s">
        <v>155</v>
      </c>
      <c r="B136">
        <v>-0.24948208573044101</v>
      </c>
      <c r="C136">
        <v>-0.14130434782608636</v>
      </c>
      <c r="D136" s="11" t="s">
        <v>348</v>
      </c>
      <c r="E136">
        <f t="shared" si="2"/>
        <v>52.497729246709078</v>
      </c>
      <c r="F136" s="10">
        <f t="shared" si="3"/>
        <v>2.2099375971691679</v>
      </c>
    </row>
    <row r="137" spans="1:6" x14ac:dyDescent="0.25">
      <c r="A137" t="s">
        <v>156</v>
      </c>
      <c r="B137">
        <v>-1.7466315705242846E-2</v>
      </c>
      <c r="C137">
        <v>-0.14130434782608414</v>
      </c>
      <c r="D137" s="11" t="s">
        <v>348</v>
      </c>
      <c r="E137">
        <f t="shared" si="2"/>
        <v>29.296152244188825</v>
      </c>
      <c r="F137" s="10">
        <f t="shared" si="3"/>
        <v>1.2332470227916248</v>
      </c>
    </row>
    <row r="138" spans="1:6" x14ac:dyDescent="0.25">
      <c r="A138" t="s">
        <v>157</v>
      </c>
      <c r="B138">
        <v>-5.3310211571199464E-3</v>
      </c>
      <c r="C138">
        <v>-8.2361653728984851E-17</v>
      </c>
      <c r="D138" s="11" t="s">
        <v>348</v>
      </c>
      <c r="E138">
        <f t="shared" ref="E138:E160" si="4">-SUMPRODUCT(B138:C138,$B$7:$C$7)</f>
        <v>0.53310211571201072</v>
      </c>
      <c r="F138" s="10">
        <f t="shared" ref="F138:F160" si="5">E138/$B$5</f>
        <v>2.2441397476563305E-2</v>
      </c>
    </row>
    <row r="139" spans="1:6" x14ac:dyDescent="0.25">
      <c r="A139" t="s">
        <v>158</v>
      </c>
      <c r="B139">
        <v>1.3044250055257696E-2</v>
      </c>
      <c r="C139">
        <v>-2.4135283144025558E-17</v>
      </c>
      <c r="D139" s="11" t="s">
        <v>348</v>
      </c>
      <c r="E139">
        <f t="shared" si="4"/>
        <v>-1.3044250055257649</v>
      </c>
      <c r="F139" s="10">
        <f t="shared" si="5"/>
        <v>-5.4910905743217359E-2</v>
      </c>
    </row>
    <row r="140" spans="1:6" x14ac:dyDescent="0.25">
      <c r="A140" t="s">
        <v>159</v>
      </c>
      <c r="B140">
        <v>-5.3310211571199464E-3</v>
      </c>
      <c r="C140">
        <v>-8.2361653728984851E-17</v>
      </c>
      <c r="D140" s="11" t="s">
        <v>348</v>
      </c>
      <c r="E140">
        <f t="shared" si="4"/>
        <v>0.53310211571201072</v>
      </c>
      <c r="F140" s="10">
        <f t="shared" si="5"/>
        <v>2.2441397476563305E-2</v>
      </c>
    </row>
    <row r="141" spans="1:6" x14ac:dyDescent="0.25">
      <c r="A141" t="s">
        <v>160</v>
      </c>
      <c r="B141">
        <v>-1.2847508114130143E-4</v>
      </c>
      <c r="C141">
        <v>0</v>
      </c>
      <c r="D141" s="11" t="s">
        <v>348</v>
      </c>
      <c r="E141">
        <f t="shared" si="4"/>
        <v>1.2847508114130143E-2</v>
      </c>
      <c r="F141" s="10">
        <f t="shared" si="5"/>
        <v>5.4082703421180788E-4</v>
      </c>
    </row>
    <row r="142" spans="1:6" x14ac:dyDescent="0.25">
      <c r="A142" t="s">
        <v>161</v>
      </c>
      <c r="B142">
        <v>-3.041534076680354E-2</v>
      </c>
      <c r="C142">
        <v>2.5704076548386794E-16</v>
      </c>
      <c r="D142" s="11" t="s">
        <v>348</v>
      </c>
      <c r="E142">
        <f t="shared" si="4"/>
        <v>3.0415340766803038</v>
      </c>
      <c r="F142" s="10">
        <f t="shared" si="5"/>
        <v>0.1280360237590347</v>
      </c>
    </row>
    <row r="143" spans="1:6" x14ac:dyDescent="0.25">
      <c r="A143" t="s">
        <v>162</v>
      </c>
      <c r="B143">
        <v>-6.0856617382719549E-3</v>
      </c>
      <c r="C143">
        <v>1.5687934043616391E-17</v>
      </c>
      <c r="D143" s="11" t="s">
        <v>348</v>
      </c>
      <c r="E143">
        <f t="shared" si="4"/>
        <v>0.60856617382719236</v>
      </c>
      <c r="F143" s="10">
        <f t="shared" si="5"/>
        <v>2.5618122673189848E-2</v>
      </c>
    </row>
    <row r="144" spans="1:6" x14ac:dyDescent="0.25">
      <c r="A144" t="s">
        <v>163</v>
      </c>
      <c r="B144">
        <v>-2.7247832565860837E-2</v>
      </c>
      <c r="C144">
        <v>6.2751736174465895E-17</v>
      </c>
      <c r="D144" s="11" t="s">
        <v>348</v>
      </c>
      <c r="E144">
        <f t="shared" si="4"/>
        <v>2.7247832565860715</v>
      </c>
      <c r="F144" s="10">
        <f t="shared" si="5"/>
        <v>0.11470212234454082</v>
      </c>
    </row>
    <row r="145" spans="1:6" x14ac:dyDescent="0.25">
      <c r="A145" t="s">
        <v>164</v>
      </c>
      <c r="B145">
        <v>-3.7923769084982563E-3</v>
      </c>
      <c r="C145">
        <v>0</v>
      </c>
      <c r="D145" s="11" t="s">
        <v>348</v>
      </c>
      <c r="E145">
        <f t="shared" si="4"/>
        <v>0.37923769084982561</v>
      </c>
      <c r="F145" s="10">
        <f t="shared" si="5"/>
        <v>1.5964340616221696E-2</v>
      </c>
    </row>
    <row r="146" spans="1:6" x14ac:dyDescent="0.25">
      <c r="A146" t="s">
        <v>165</v>
      </c>
      <c r="B146">
        <v>-2.2932848297737194E-3</v>
      </c>
      <c r="C146">
        <v>1.8101462358019338E-18</v>
      </c>
      <c r="D146" s="11" t="s">
        <v>348</v>
      </c>
      <c r="E146">
        <f t="shared" si="4"/>
        <v>0.22932848297737157</v>
      </c>
      <c r="F146" s="10">
        <f t="shared" si="5"/>
        <v>9.653782056968355E-3</v>
      </c>
    </row>
    <row r="147" spans="1:6" x14ac:dyDescent="0.25">
      <c r="A147" t="s">
        <v>166</v>
      </c>
      <c r="B147">
        <v>-2.1928584192468046</v>
      </c>
      <c r="C147">
        <v>-1.2826086956521721</v>
      </c>
      <c r="D147" s="11" t="s">
        <v>348</v>
      </c>
      <c r="E147">
        <f t="shared" si="4"/>
        <v>469.35072188564016</v>
      </c>
      <c r="F147" s="10">
        <f t="shared" si="5"/>
        <v>19.75772707575894</v>
      </c>
    </row>
    <row r="148" spans="1:6" x14ac:dyDescent="0.25">
      <c r="A148" t="s">
        <v>167</v>
      </c>
      <c r="B148">
        <v>-3.386666125946787E-2</v>
      </c>
      <c r="C148">
        <v>-1.5235397484665504E-17</v>
      </c>
      <c r="D148" s="11" t="s">
        <v>348</v>
      </c>
      <c r="E148">
        <f t="shared" si="4"/>
        <v>3.3866661259467903</v>
      </c>
      <c r="F148" s="10">
        <f t="shared" si="5"/>
        <v>0.14256465771342355</v>
      </c>
    </row>
    <row r="149" spans="1:6" x14ac:dyDescent="0.25">
      <c r="A149" t="s">
        <v>335</v>
      </c>
      <c r="B149">
        <v>-0.23201577002519796</v>
      </c>
      <c r="C149">
        <v>-2.054779957294528E-15</v>
      </c>
      <c r="D149" s="11" t="s">
        <v>348</v>
      </c>
      <c r="E149">
        <f t="shared" si="4"/>
        <v>23.201577002520199</v>
      </c>
      <c r="F149" s="10">
        <f t="shared" si="5"/>
        <v>0.97669057437754081</v>
      </c>
    </row>
    <row r="150" spans="1:6" x14ac:dyDescent="0.25">
      <c r="A150" t="s">
        <v>168</v>
      </c>
      <c r="B150">
        <v>-5.3310211571199464E-3</v>
      </c>
      <c r="C150">
        <v>-8.2361653728984851E-17</v>
      </c>
      <c r="D150" s="11" t="s">
        <v>348</v>
      </c>
      <c r="E150">
        <f t="shared" si="4"/>
        <v>0.53310211571201072</v>
      </c>
      <c r="F150" s="10">
        <f t="shared" si="5"/>
        <v>2.2441397476563305E-2</v>
      </c>
    </row>
    <row r="151" spans="1:6" x14ac:dyDescent="0.25">
      <c r="A151" t="s">
        <v>169</v>
      </c>
      <c r="B151">
        <v>-1.3044250055257696E-2</v>
      </c>
      <c r="C151">
        <v>2.4135283144025558E-17</v>
      </c>
      <c r="D151" s="11" t="s">
        <v>348</v>
      </c>
      <c r="E151">
        <f t="shared" si="4"/>
        <v>1.3044250055257649</v>
      </c>
      <c r="F151" s="10">
        <f t="shared" si="5"/>
        <v>5.4910905743217359E-2</v>
      </c>
    </row>
    <row r="152" spans="1:6" x14ac:dyDescent="0.25">
      <c r="A152" t="s">
        <v>170</v>
      </c>
      <c r="B152">
        <v>-0.13074000976314759</v>
      </c>
      <c r="C152">
        <v>-2.9795007041299056E-15</v>
      </c>
      <c r="D152" s="11" t="s">
        <v>348</v>
      </c>
      <c r="E152">
        <f t="shared" si="4"/>
        <v>13.07400097631534</v>
      </c>
      <c r="F152" s="10">
        <f t="shared" si="5"/>
        <v>0.55036144834391809</v>
      </c>
    </row>
    <row r="153" spans="1:6" x14ac:dyDescent="0.25">
      <c r="A153" t="s">
        <v>171</v>
      </c>
      <c r="B153">
        <v>-1.2487310680689869</v>
      </c>
      <c r="C153">
        <v>-0.42391304347826086</v>
      </c>
      <c r="D153" s="11" t="s">
        <v>348</v>
      </c>
      <c r="E153">
        <f t="shared" si="4"/>
        <v>207.52166882789396</v>
      </c>
      <c r="F153" s="10">
        <f t="shared" si="5"/>
        <v>8.7358052386389762</v>
      </c>
    </row>
    <row r="154" spans="1:6" x14ac:dyDescent="0.25">
      <c r="A154" t="s">
        <v>172</v>
      </c>
      <c r="B154">
        <v>0</v>
      </c>
      <c r="C154">
        <v>0</v>
      </c>
      <c r="D154" s="11" t="s">
        <v>348</v>
      </c>
      <c r="E154">
        <f t="shared" si="4"/>
        <v>0</v>
      </c>
      <c r="F154" s="10">
        <f t="shared" si="5"/>
        <v>0</v>
      </c>
    </row>
    <row r="155" spans="1:6" x14ac:dyDescent="0.25">
      <c r="A155" t="s">
        <v>173</v>
      </c>
      <c r="B155">
        <v>0.14386439942306609</v>
      </c>
      <c r="C155">
        <v>1.7715297827714295E-15</v>
      </c>
      <c r="D155" s="11" t="s">
        <v>348</v>
      </c>
      <c r="E155">
        <f t="shared" si="4"/>
        <v>-14.386439942306954</v>
      </c>
      <c r="F155" s="10">
        <f t="shared" si="5"/>
        <v>-0.60560970872684716</v>
      </c>
    </row>
    <row r="156" spans="1:6" x14ac:dyDescent="0.25">
      <c r="A156" t="s">
        <v>174</v>
      </c>
      <c r="B156">
        <v>6.6851122291457466E-3</v>
      </c>
      <c r="C156">
        <v>-5.5661996750908824E-16</v>
      </c>
      <c r="D156" s="11" t="s">
        <v>348</v>
      </c>
      <c r="E156">
        <f t="shared" si="4"/>
        <v>-0.66851122291446619</v>
      </c>
      <c r="F156" s="10">
        <f t="shared" si="5"/>
        <v>-2.8141561679847878E-2</v>
      </c>
    </row>
    <row r="157" spans="1:6" x14ac:dyDescent="0.25">
      <c r="A157" t="s">
        <v>175</v>
      </c>
      <c r="B157">
        <v>1.182582091514117E-3</v>
      </c>
      <c r="C157">
        <v>1.0151903472455062E-16</v>
      </c>
      <c r="D157" s="11" t="s">
        <v>348</v>
      </c>
      <c r="E157">
        <f t="shared" si="4"/>
        <v>-0.11825820915143148</v>
      </c>
      <c r="F157" s="10">
        <f t="shared" si="5"/>
        <v>-4.9781822247869168E-3</v>
      </c>
    </row>
    <row r="158" spans="1:6" x14ac:dyDescent="0.25">
      <c r="A158" t="s">
        <v>176</v>
      </c>
      <c r="B158">
        <v>0.80225454646186511</v>
      </c>
      <c r="C158">
        <v>0.42391304347826081</v>
      </c>
      <c r="D158" s="11" t="s">
        <v>348</v>
      </c>
      <c r="E158">
        <f t="shared" si="4"/>
        <v>-162.87401666718176</v>
      </c>
      <c r="F158" s="10">
        <f t="shared" si="5"/>
        <v>-6.8563234676922011</v>
      </c>
    </row>
    <row r="159" spans="1:6" x14ac:dyDescent="0.25">
      <c r="A159" t="s">
        <v>177</v>
      </c>
      <c r="B159">
        <v>-0.27746878884166176</v>
      </c>
      <c r="C159">
        <v>-0.28260869565217017</v>
      </c>
      <c r="D159" s="11" t="s">
        <v>348</v>
      </c>
      <c r="E159">
        <f t="shared" si="4"/>
        <v>82.845920231495626</v>
      </c>
      <c r="F159" s="10">
        <f t="shared" si="5"/>
        <v>3.487471106250505</v>
      </c>
    </row>
    <row r="160" spans="1:6" x14ac:dyDescent="0.25">
      <c r="A160" t="s">
        <v>336</v>
      </c>
      <c r="B160">
        <v>0.58122158700910431</v>
      </c>
      <c r="C160">
        <v>0.14130434782608739</v>
      </c>
      <c r="D160" s="11" t="s">
        <v>348</v>
      </c>
      <c r="E160">
        <f t="shared" si="4"/>
        <v>-85.671679374575604</v>
      </c>
      <c r="F160" s="10">
        <f t="shared" si="5"/>
        <v>-3.6064238964081561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30D6D-808A-4386-A29A-7FFFB5009596}">
  <sheetPr>
    <tabColor rgb="FFFF33CC"/>
  </sheetPr>
  <dimension ref="A1:FN166"/>
  <sheetViews>
    <sheetView workbookViewId="0">
      <pane xSplit="1" ySplit="1" topLeftCell="AC2" activePane="bottomRight" state="frozen"/>
      <selection pane="topRight" activeCell="B1" sqref="B1"/>
      <selection pane="bottomLeft" activeCell="A2" sqref="A2"/>
      <selection pane="bottomRight" activeCell="AK1" sqref="AK1"/>
    </sheetView>
  </sheetViews>
  <sheetFormatPr defaultRowHeight="15" x14ac:dyDescent="0.25"/>
  <cols>
    <col min="1" max="1" width="13.5703125" bestFit="1" customWidth="1"/>
    <col min="3" max="3" width="9.28515625" bestFit="1" customWidth="1"/>
    <col min="4" max="4" width="9" customWidth="1"/>
    <col min="5" max="5" width="9" bestFit="1" customWidth="1"/>
    <col min="11" max="11" width="16.5703125" bestFit="1" customWidth="1"/>
    <col min="12" max="12" width="17.7109375" bestFit="1" customWidth="1"/>
    <col min="13" max="14" width="17.7109375" customWidth="1"/>
    <col min="39" max="39" width="9.85546875" bestFit="1" customWidth="1"/>
    <col min="40" max="40" width="15.140625" bestFit="1" customWidth="1"/>
    <col min="60" max="60" width="15.42578125" bestFit="1" customWidth="1"/>
    <col min="113" max="113" width="9.85546875" bestFit="1" customWidth="1"/>
    <col min="126" max="126" width="17.42578125" bestFit="1" customWidth="1"/>
    <col min="127" max="127" width="18.5703125" bestFit="1" customWidth="1"/>
    <col min="129" max="129" width="10.7109375" bestFit="1" customWidth="1"/>
    <col min="131" max="131" width="14.28515625" bestFit="1" customWidth="1"/>
    <col min="132" max="132" width="15.42578125" bestFit="1" customWidth="1"/>
    <col min="135" max="135" width="13.42578125" bestFit="1" customWidth="1"/>
    <col min="136" max="136" width="14.42578125" bestFit="1" customWidth="1"/>
    <col min="147" max="147" width="9.140625" bestFit="1" customWidth="1"/>
  </cols>
  <sheetData>
    <row r="1" spans="1:170" x14ac:dyDescent="0.25">
      <c r="A1" t="s">
        <v>5</v>
      </c>
      <c r="B1" t="s">
        <v>39</v>
      </c>
      <c r="C1" t="s">
        <v>359</v>
      </c>
      <c r="D1" t="s">
        <v>386</v>
      </c>
      <c r="E1" t="s">
        <v>358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324</v>
      </c>
      <c r="M1" t="s">
        <v>371</v>
      </c>
      <c r="N1" t="s">
        <v>370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325</v>
      </c>
      <c r="AD1" t="s">
        <v>60</v>
      </c>
      <c r="AE1" t="s">
        <v>61</v>
      </c>
      <c r="AF1" t="s">
        <v>62</v>
      </c>
      <c r="AG1" t="s">
        <v>63</v>
      </c>
      <c r="AH1" t="s">
        <v>64</v>
      </c>
      <c r="AI1" t="s">
        <v>65</v>
      </c>
      <c r="AJ1" t="s">
        <v>66</v>
      </c>
      <c r="AK1" t="s">
        <v>442</v>
      </c>
      <c r="AL1" t="s">
        <v>438</v>
      </c>
      <c r="AM1" t="s">
        <v>326</v>
      </c>
      <c r="AN1" t="s">
        <v>369</v>
      </c>
      <c r="AO1" t="s">
        <v>67</v>
      </c>
      <c r="AP1" t="s">
        <v>327</v>
      </c>
      <c r="AQ1" t="s">
        <v>68</v>
      </c>
      <c r="AR1" t="s">
        <v>69</v>
      </c>
      <c r="AS1" t="s">
        <v>70</v>
      </c>
      <c r="AT1" t="s">
        <v>71</v>
      </c>
      <c r="AU1" t="s">
        <v>72</v>
      </c>
      <c r="AV1" t="s">
        <v>73</v>
      </c>
      <c r="AW1" t="s">
        <v>74</v>
      </c>
      <c r="AX1" t="s">
        <v>75</v>
      </c>
      <c r="AY1" t="s">
        <v>76</v>
      </c>
      <c r="AZ1" t="s">
        <v>77</v>
      </c>
      <c r="BA1" t="s">
        <v>78</v>
      </c>
      <c r="BB1" t="s">
        <v>79</v>
      </c>
      <c r="BC1" t="s">
        <v>80</v>
      </c>
      <c r="BD1" t="s">
        <v>81</v>
      </c>
      <c r="BE1" t="s">
        <v>82</v>
      </c>
      <c r="BF1" t="s">
        <v>83</v>
      </c>
      <c r="BG1" t="s">
        <v>84</v>
      </c>
      <c r="BH1" t="s">
        <v>365</v>
      </c>
      <c r="BI1" t="s">
        <v>328</v>
      </c>
      <c r="BJ1" t="s">
        <v>85</v>
      </c>
      <c r="BK1" t="s">
        <v>86</v>
      </c>
      <c r="BL1" t="s">
        <v>87</v>
      </c>
      <c r="BM1" t="s">
        <v>88</v>
      </c>
      <c r="BN1" t="s">
        <v>89</v>
      </c>
      <c r="BO1" t="s">
        <v>90</v>
      </c>
      <c r="BP1" t="s">
        <v>329</v>
      </c>
      <c r="BQ1" t="s">
        <v>91</v>
      </c>
      <c r="BR1" t="s">
        <v>92</v>
      </c>
      <c r="BS1" t="s">
        <v>93</v>
      </c>
      <c r="BT1" t="s">
        <v>94</v>
      </c>
      <c r="BU1" t="s">
        <v>330</v>
      </c>
      <c r="BV1" t="s">
        <v>95</v>
      </c>
      <c r="BW1" t="s">
        <v>331</v>
      </c>
      <c r="BX1" t="s">
        <v>96</v>
      </c>
      <c r="BY1" t="s">
        <v>97</v>
      </c>
      <c r="BZ1" t="s">
        <v>98</v>
      </c>
      <c r="CA1" t="s">
        <v>99</v>
      </c>
      <c r="CB1" t="s">
        <v>100</v>
      </c>
      <c r="CC1" t="s">
        <v>101</v>
      </c>
      <c r="CD1" t="s">
        <v>102</v>
      </c>
      <c r="CE1" t="s">
        <v>103</v>
      </c>
      <c r="CF1" t="s">
        <v>104</v>
      </c>
      <c r="CG1" t="s">
        <v>105</v>
      </c>
      <c r="CH1" t="s">
        <v>106</v>
      </c>
      <c r="CI1" t="s">
        <v>107</v>
      </c>
      <c r="CJ1" t="s">
        <v>108</v>
      </c>
      <c r="CK1" t="s">
        <v>109</v>
      </c>
      <c r="CL1" t="s">
        <v>110</v>
      </c>
      <c r="CM1" t="s">
        <v>111</v>
      </c>
      <c r="CN1" t="s">
        <v>112</v>
      </c>
      <c r="CO1" t="s">
        <v>113</v>
      </c>
      <c r="CP1" t="s">
        <v>114</v>
      </c>
      <c r="CQ1" t="s">
        <v>115</v>
      </c>
      <c r="CR1" t="s">
        <v>116</v>
      </c>
      <c r="CS1" t="s">
        <v>117</v>
      </c>
      <c r="CT1" t="s">
        <v>118</v>
      </c>
      <c r="CU1" t="s">
        <v>119</v>
      </c>
      <c r="CV1" t="s">
        <v>120</v>
      </c>
      <c r="CW1" t="s">
        <v>121</v>
      </c>
      <c r="CX1" t="s">
        <v>122</v>
      </c>
      <c r="CY1" t="s">
        <v>123</v>
      </c>
      <c r="CZ1" t="s">
        <v>124</v>
      </c>
      <c r="DA1" t="s">
        <v>332</v>
      </c>
      <c r="DB1" t="s">
        <v>333</v>
      </c>
      <c r="DC1" t="s">
        <v>125</v>
      </c>
      <c r="DD1" t="s">
        <v>126</v>
      </c>
      <c r="DE1" t="s">
        <v>127</v>
      </c>
      <c r="DF1" t="s">
        <v>128</v>
      </c>
      <c r="DG1" t="s">
        <v>129</v>
      </c>
      <c r="DH1" t="s">
        <v>130</v>
      </c>
      <c r="DI1" t="s">
        <v>364</v>
      </c>
      <c r="DJ1" t="s">
        <v>131</v>
      </c>
      <c r="DK1" t="s">
        <v>132</v>
      </c>
      <c r="DL1" t="s">
        <v>334</v>
      </c>
      <c r="DM1" t="s">
        <v>133</v>
      </c>
      <c r="DN1" t="s">
        <v>135</v>
      </c>
      <c r="DO1" t="s">
        <v>136</v>
      </c>
      <c r="DP1" t="s">
        <v>137</v>
      </c>
      <c r="DQ1" t="s">
        <v>138</v>
      </c>
      <c r="DR1" t="s">
        <v>139</v>
      </c>
      <c r="DS1" t="s">
        <v>140</v>
      </c>
      <c r="DT1" t="s">
        <v>141</v>
      </c>
      <c r="DU1" t="s">
        <v>142</v>
      </c>
      <c r="DV1" t="s">
        <v>367</v>
      </c>
      <c r="DW1" t="s">
        <v>368</v>
      </c>
      <c r="DX1" t="s">
        <v>143</v>
      </c>
      <c r="DY1" t="s">
        <v>366</v>
      </c>
      <c r="DZ1" t="s">
        <v>145</v>
      </c>
      <c r="EA1" t="s">
        <v>146</v>
      </c>
      <c r="EB1" t="s">
        <v>147</v>
      </c>
      <c r="EC1" t="s">
        <v>148</v>
      </c>
      <c r="ED1" t="s">
        <v>149</v>
      </c>
      <c r="EE1" t="s">
        <v>361</v>
      </c>
      <c r="EF1" t="s">
        <v>362</v>
      </c>
      <c r="EG1" t="s">
        <v>151</v>
      </c>
      <c r="EH1" t="s">
        <v>152</v>
      </c>
      <c r="EI1" t="s">
        <v>153</v>
      </c>
      <c r="EJ1" t="s">
        <v>154</v>
      </c>
      <c r="EK1" t="s">
        <v>144</v>
      </c>
      <c r="EL1" t="s">
        <v>155</v>
      </c>
      <c r="EM1" t="s">
        <v>156</v>
      </c>
      <c r="EN1" t="s">
        <v>157</v>
      </c>
      <c r="EO1" t="s">
        <v>158</v>
      </c>
      <c r="EP1" t="s">
        <v>159</v>
      </c>
      <c r="EQ1" t="s">
        <v>385</v>
      </c>
      <c r="ER1" t="s">
        <v>160</v>
      </c>
      <c r="ES1" t="s">
        <v>161</v>
      </c>
      <c r="ET1" t="s">
        <v>162</v>
      </c>
      <c r="EU1" t="s">
        <v>163</v>
      </c>
      <c r="EV1" t="s">
        <v>164</v>
      </c>
      <c r="EW1" t="s">
        <v>165</v>
      </c>
      <c r="EX1" t="s">
        <v>166</v>
      </c>
      <c r="EY1" t="s">
        <v>167</v>
      </c>
      <c r="EZ1" t="s">
        <v>335</v>
      </c>
      <c r="FA1" t="s">
        <v>168</v>
      </c>
      <c r="FB1" t="s">
        <v>169</v>
      </c>
      <c r="FC1" t="s">
        <v>170</v>
      </c>
      <c r="FD1" t="s">
        <v>171</v>
      </c>
      <c r="FE1" t="s">
        <v>173</v>
      </c>
      <c r="FF1" t="s">
        <v>174</v>
      </c>
      <c r="FG1" t="s">
        <v>175</v>
      </c>
      <c r="FH1" t="s">
        <v>435</v>
      </c>
      <c r="FI1" t="s">
        <v>176</v>
      </c>
      <c r="FJ1" t="s">
        <v>177</v>
      </c>
      <c r="FK1" t="s">
        <v>363</v>
      </c>
      <c r="FL1" t="s">
        <v>336</v>
      </c>
      <c r="FM1" t="s">
        <v>360</v>
      </c>
      <c r="FN1" t="s">
        <v>178</v>
      </c>
    </row>
    <row r="2" spans="1:170" x14ac:dyDescent="0.25">
      <c r="A2" t="s">
        <v>179</v>
      </c>
      <c r="B2">
        <v>0</v>
      </c>
      <c r="C2">
        <v>0</v>
      </c>
      <c r="D2">
        <v>0</v>
      </c>
      <c r="E2">
        <v>0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</row>
    <row r="3" spans="1:170" x14ac:dyDescent="0.25">
      <c r="A3" t="s">
        <v>180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-1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</row>
    <row r="4" spans="1:170" x14ac:dyDescent="0.25">
      <c r="A4" t="s">
        <v>181</v>
      </c>
      <c r="B4">
        <v>0</v>
      </c>
      <c r="C4">
        <v>0</v>
      </c>
      <c r="D4">
        <v>0</v>
      </c>
      <c r="E4">
        <v>0</v>
      </c>
      <c r="F4">
        <v>1</v>
      </c>
      <c r="G4">
        <v>-1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-1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</row>
    <row r="5" spans="1:170" x14ac:dyDescent="0.25">
      <c r="A5" t="s">
        <v>182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-1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1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</row>
    <row r="6" spans="1:170" x14ac:dyDescent="0.25">
      <c r="A6" t="s">
        <v>183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-1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-1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-1</v>
      </c>
      <c r="BF6">
        <v>-1</v>
      </c>
      <c r="BG6">
        <v>0</v>
      </c>
      <c r="BH6">
        <v>0</v>
      </c>
      <c r="BI6">
        <v>0</v>
      </c>
      <c r="BJ6">
        <v>0</v>
      </c>
      <c r="BK6">
        <v>-1</v>
      </c>
      <c r="BL6">
        <v>0</v>
      </c>
      <c r="BM6">
        <v>0</v>
      </c>
      <c r="BN6">
        <v>0</v>
      </c>
      <c r="BO6">
        <v>0</v>
      </c>
      <c r="BP6">
        <v>-1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-1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-1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</row>
    <row r="7" spans="1:170" x14ac:dyDescent="0.25">
      <c r="A7" t="s">
        <v>184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1</v>
      </c>
      <c r="DU7">
        <v>-1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</row>
    <row r="8" spans="1:170" x14ac:dyDescent="0.25">
      <c r="A8" t="s">
        <v>185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-1</v>
      </c>
      <c r="K8">
        <v>1</v>
      </c>
      <c r="L8">
        <v>1</v>
      </c>
      <c r="M8">
        <v>-1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1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</row>
    <row r="9" spans="1:170" x14ac:dyDescent="0.25">
      <c r="A9" t="s">
        <v>363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-1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-1</v>
      </c>
      <c r="FL9">
        <v>0</v>
      </c>
      <c r="FM9">
        <v>0</v>
      </c>
      <c r="FN9">
        <v>0</v>
      </c>
    </row>
    <row r="10" spans="1:170" x14ac:dyDescent="0.25">
      <c r="A10" t="s">
        <v>372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1</v>
      </c>
      <c r="DW10">
        <v>1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</row>
    <row r="11" spans="1:170" x14ac:dyDescent="0.25">
      <c r="A11" t="s">
        <v>186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-1</v>
      </c>
      <c r="L11">
        <v>-1</v>
      </c>
      <c r="M11">
        <v>0</v>
      </c>
      <c r="N11">
        <v>-1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-1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1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</row>
    <row r="12" spans="1:170" x14ac:dyDescent="0.25">
      <c r="A12" t="s">
        <v>373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-1</v>
      </c>
      <c r="DW12">
        <v>-1</v>
      </c>
      <c r="DX12">
        <v>0</v>
      </c>
      <c r="DY12">
        <v>-1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</row>
    <row r="13" spans="1:170" x14ac:dyDescent="0.25">
      <c r="A13" t="s">
        <v>187</v>
      </c>
      <c r="B13">
        <v>-1</v>
      </c>
      <c r="C13">
        <v>0</v>
      </c>
      <c r="D13">
        <v>0</v>
      </c>
      <c r="E13">
        <v>0</v>
      </c>
      <c r="F13">
        <v>-1</v>
      </c>
      <c r="G13">
        <v>0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4</v>
      </c>
      <c r="P13">
        <v>0</v>
      </c>
      <c r="Q13">
        <v>2</v>
      </c>
      <c r="R13">
        <v>1</v>
      </c>
      <c r="S13">
        <v>0</v>
      </c>
      <c r="T13">
        <v>1</v>
      </c>
      <c r="U13">
        <v>1</v>
      </c>
      <c r="V13">
        <v>0</v>
      </c>
      <c r="W13">
        <v>0</v>
      </c>
      <c r="X13">
        <v>0</v>
      </c>
      <c r="Y13">
        <v>0</v>
      </c>
      <c r="Z13">
        <v>1</v>
      </c>
      <c r="AA13">
        <v>2</v>
      </c>
      <c r="AB13">
        <v>1</v>
      </c>
      <c r="AC13">
        <v>0</v>
      </c>
      <c r="AD13">
        <v>1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1</v>
      </c>
      <c r="AY13">
        <v>0</v>
      </c>
      <c r="AZ13">
        <v>1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1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1</v>
      </c>
      <c r="CH13">
        <v>2</v>
      </c>
      <c r="CI13">
        <v>0</v>
      </c>
      <c r="CJ13">
        <v>-1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1</v>
      </c>
      <c r="CQ13">
        <v>1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1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1</v>
      </c>
      <c r="DF13">
        <v>1</v>
      </c>
      <c r="DG13">
        <v>0</v>
      </c>
      <c r="DH13">
        <v>0</v>
      </c>
      <c r="DI13">
        <v>0</v>
      </c>
      <c r="DJ13">
        <v>1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1</v>
      </c>
    </row>
    <row r="14" spans="1:170" x14ac:dyDescent="0.25">
      <c r="A14" t="s">
        <v>188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-3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1</v>
      </c>
      <c r="EK14">
        <v>0</v>
      </c>
      <c r="EL14">
        <v>0</v>
      </c>
      <c r="EM14">
        <v>-1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</row>
    <row r="15" spans="1:170" x14ac:dyDescent="0.25">
      <c r="A15" t="s">
        <v>189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</v>
      </c>
      <c r="BH15">
        <v>0</v>
      </c>
      <c r="BI15">
        <v>0</v>
      </c>
      <c r="BJ15">
        <v>-1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</row>
    <row r="16" spans="1:170" x14ac:dyDescent="0.25">
      <c r="A16" t="s">
        <v>190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-0.97689999999999999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</row>
    <row r="17" spans="1:170" x14ac:dyDescent="0.25">
      <c r="A17" t="s">
        <v>191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-1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1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1</v>
      </c>
      <c r="CI17">
        <v>1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1</v>
      </c>
      <c r="CR17">
        <v>0</v>
      </c>
      <c r="CS17">
        <v>1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</row>
    <row r="18" spans="1:170" x14ac:dyDescent="0.25">
      <c r="A18" t="s">
        <v>192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-0.3856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</row>
    <row r="19" spans="1:170" x14ac:dyDescent="0.25">
      <c r="A19" t="s">
        <v>193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-0.40849999999999997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</row>
    <row r="20" spans="1:170" x14ac:dyDescent="0.25">
      <c r="A20" t="s">
        <v>194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-1</v>
      </c>
      <c r="P20">
        <v>0</v>
      </c>
      <c r="Q20">
        <v>0</v>
      </c>
      <c r="R20">
        <v>-1</v>
      </c>
      <c r="S20">
        <v>-1</v>
      </c>
      <c r="T20">
        <v>-1</v>
      </c>
      <c r="U20">
        <v>-1</v>
      </c>
      <c r="V20">
        <v>1</v>
      </c>
      <c r="W20">
        <v>-0.51990000000000003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-1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</row>
    <row r="21" spans="1:170" x14ac:dyDescent="0.25">
      <c r="A21" t="s">
        <v>195</v>
      </c>
      <c r="B21">
        <v>1</v>
      </c>
      <c r="C21">
        <v>0</v>
      </c>
      <c r="D21">
        <v>0</v>
      </c>
      <c r="E21">
        <v>0</v>
      </c>
      <c r="F21">
        <v>1</v>
      </c>
      <c r="G21">
        <v>0</v>
      </c>
      <c r="H21">
        <v>-1</v>
      </c>
      <c r="I21">
        <v>-1</v>
      </c>
      <c r="J21">
        <v>-1</v>
      </c>
      <c r="K21">
        <v>0</v>
      </c>
      <c r="L21">
        <v>0</v>
      </c>
      <c r="M21">
        <v>0</v>
      </c>
      <c r="N21">
        <v>0</v>
      </c>
      <c r="O21">
        <v>-4</v>
      </c>
      <c r="P21">
        <v>0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0</v>
      </c>
      <c r="W21">
        <v>0</v>
      </c>
      <c r="X21">
        <v>0</v>
      </c>
      <c r="Y21">
        <v>0</v>
      </c>
      <c r="Z21">
        <v>-1</v>
      </c>
      <c r="AA21">
        <v>-2</v>
      </c>
      <c r="AB21">
        <v>-1</v>
      </c>
      <c r="AC21">
        <v>0</v>
      </c>
      <c r="AD21">
        <v>-1</v>
      </c>
      <c r="AE21">
        <v>0</v>
      </c>
      <c r="AF21">
        <v>-1</v>
      </c>
      <c r="AG21">
        <v>0</v>
      </c>
      <c r="AH21">
        <v>0</v>
      </c>
      <c r="AI21">
        <v>-0.3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-1</v>
      </c>
      <c r="AW21">
        <v>0</v>
      </c>
      <c r="AX21">
        <v>-1</v>
      </c>
      <c r="AY21">
        <v>0</v>
      </c>
      <c r="AZ21">
        <v>-1</v>
      </c>
      <c r="BA21">
        <v>-1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-1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-1</v>
      </c>
      <c r="BO21">
        <v>0</v>
      </c>
      <c r="BP21">
        <v>0</v>
      </c>
      <c r="BQ21">
        <v>-1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-1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-1</v>
      </c>
      <c r="CE21">
        <v>0</v>
      </c>
      <c r="CF21">
        <v>0</v>
      </c>
      <c r="CG21">
        <v>-1</v>
      </c>
      <c r="CH21">
        <v>-3</v>
      </c>
      <c r="CI21">
        <v>-1</v>
      </c>
      <c r="CJ21">
        <v>1</v>
      </c>
      <c r="CK21">
        <v>0</v>
      </c>
      <c r="CL21">
        <v>0</v>
      </c>
      <c r="CM21">
        <v>-0.3</v>
      </c>
      <c r="CN21">
        <v>0</v>
      </c>
      <c r="CO21">
        <v>0</v>
      </c>
      <c r="CP21">
        <v>-1</v>
      </c>
      <c r="CQ21">
        <v>-2</v>
      </c>
      <c r="CR21">
        <v>0</v>
      </c>
      <c r="CS21">
        <v>-1</v>
      </c>
      <c r="CT21">
        <v>0</v>
      </c>
      <c r="CU21">
        <v>0</v>
      </c>
      <c r="CV21">
        <v>0</v>
      </c>
      <c r="CW21">
        <v>-1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-1</v>
      </c>
      <c r="DF21">
        <v>-1</v>
      </c>
      <c r="DG21">
        <v>0</v>
      </c>
      <c r="DH21">
        <v>0</v>
      </c>
      <c r="DI21">
        <v>0</v>
      </c>
      <c r="DJ21">
        <v>-1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-1</v>
      </c>
    </row>
    <row r="22" spans="1:170" x14ac:dyDescent="0.25">
      <c r="A22" t="s">
        <v>196</v>
      </c>
      <c r="B22">
        <v>-1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3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-1</v>
      </c>
      <c r="EK22">
        <v>0</v>
      </c>
      <c r="EL22">
        <v>0</v>
      </c>
      <c r="EM22">
        <v>1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</row>
    <row r="23" spans="1:170" x14ac:dyDescent="0.25">
      <c r="A23" t="s">
        <v>197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-1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</row>
    <row r="24" spans="1:170" x14ac:dyDescent="0.25">
      <c r="A24" t="s">
        <v>198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8.5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-1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-2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</row>
    <row r="25" spans="1:170" x14ac:dyDescent="0.25">
      <c r="A25" t="s">
        <v>199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18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-0.45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</row>
    <row r="26" spans="1:170" x14ac:dyDescent="0.25">
      <c r="A26" t="s">
        <v>360</v>
      </c>
      <c r="B26">
        <v>0</v>
      </c>
      <c r="C26">
        <v>1</v>
      </c>
      <c r="D26">
        <v>1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-1</v>
      </c>
      <c r="FN26">
        <v>0</v>
      </c>
    </row>
    <row r="27" spans="1:170" x14ac:dyDescent="0.25">
      <c r="A27" t="s">
        <v>200</v>
      </c>
      <c r="B27">
        <v>0</v>
      </c>
      <c r="C27" s="12">
        <f>-Cmol!AJ6</f>
        <v>-0.19613572081508693</v>
      </c>
      <c r="D27" s="12">
        <f>-Cmol!AK6</f>
        <v>-0.30786956332183457</v>
      </c>
      <c r="E27" s="12">
        <f>-Cmol!AL6</f>
        <v>-0.25758111480930024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6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</row>
    <row r="28" spans="1:170" x14ac:dyDescent="0.25">
      <c r="A28" t="s">
        <v>201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-1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-1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</row>
    <row r="29" spans="1:170" x14ac:dyDescent="0.25">
      <c r="A29" t="s">
        <v>202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-1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</row>
    <row r="30" spans="1:170" x14ac:dyDescent="0.25">
      <c r="A30" t="s">
        <v>203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-1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1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-1</v>
      </c>
      <c r="DD30">
        <v>-1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</row>
    <row r="31" spans="1:170" x14ac:dyDescent="0.25">
      <c r="A31" t="s">
        <v>337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-1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</row>
    <row r="32" spans="1:170" x14ac:dyDescent="0.25">
      <c r="A32" t="s">
        <v>204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1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-1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</row>
    <row r="33" spans="1:170" x14ac:dyDescent="0.25">
      <c r="A33" t="s">
        <v>205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-1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1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</row>
    <row r="34" spans="1:170" x14ac:dyDescent="0.25">
      <c r="A34" t="s">
        <v>206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1</v>
      </c>
      <c r="BY34">
        <v>0</v>
      </c>
      <c r="BZ34">
        <v>0</v>
      </c>
      <c r="CA34">
        <v>-1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</row>
    <row r="35" spans="1:170" x14ac:dyDescent="0.25">
      <c r="A35" t="s">
        <v>207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-1</v>
      </c>
      <c r="J35">
        <v>0</v>
      </c>
      <c r="K35">
        <v>0</v>
      </c>
      <c r="L35">
        <v>0</v>
      </c>
      <c r="M35">
        <v>0</v>
      </c>
      <c r="N35">
        <v>0</v>
      </c>
      <c r="O35">
        <v>-1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-1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</v>
      </c>
      <c r="BI35">
        <v>0</v>
      </c>
      <c r="BJ35">
        <v>0</v>
      </c>
      <c r="BK35">
        <v>0</v>
      </c>
      <c r="BL35">
        <v>1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1</v>
      </c>
      <c r="BX35">
        <v>0</v>
      </c>
      <c r="BY35">
        <v>0</v>
      </c>
      <c r="BZ35">
        <v>1</v>
      </c>
      <c r="CA35">
        <v>0</v>
      </c>
      <c r="CB35">
        <v>1</v>
      </c>
      <c r="CC35">
        <v>0</v>
      </c>
      <c r="CD35">
        <v>0</v>
      </c>
      <c r="CE35">
        <v>7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8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1</v>
      </c>
      <c r="DD35">
        <v>1</v>
      </c>
      <c r="DE35">
        <v>0</v>
      </c>
      <c r="DF35">
        <v>0</v>
      </c>
      <c r="DG35">
        <v>1</v>
      </c>
      <c r="DH35">
        <v>0</v>
      </c>
      <c r="DI35">
        <v>0</v>
      </c>
      <c r="DJ35">
        <v>0</v>
      </c>
      <c r="DK35">
        <v>-1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</row>
    <row r="36" spans="1:170" x14ac:dyDescent="0.25">
      <c r="A36" t="s">
        <v>177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1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-1</v>
      </c>
      <c r="FK36">
        <v>0</v>
      </c>
      <c r="FL36">
        <v>0</v>
      </c>
      <c r="FM36">
        <v>0</v>
      </c>
      <c r="FN36">
        <v>0</v>
      </c>
    </row>
    <row r="37" spans="1:170" x14ac:dyDescent="0.25">
      <c r="A37" t="s">
        <v>208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-1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1</v>
      </c>
      <c r="EB37">
        <v>1</v>
      </c>
      <c r="EC37">
        <v>1</v>
      </c>
      <c r="ED37">
        <v>0</v>
      </c>
      <c r="EE37">
        <v>0</v>
      </c>
      <c r="EF37">
        <v>0</v>
      </c>
      <c r="EG37">
        <v>1</v>
      </c>
      <c r="EH37">
        <v>1</v>
      </c>
      <c r="EI37">
        <v>1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</row>
    <row r="38" spans="1:170" x14ac:dyDescent="0.25">
      <c r="A38" t="s">
        <v>209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-1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2</v>
      </c>
      <c r="BD38">
        <v>0</v>
      </c>
      <c r="BE38">
        <v>1</v>
      </c>
      <c r="BF38">
        <v>1</v>
      </c>
      <c r="BG38">
        <v>0</v>
      </c>
      <c r="BH38">
        <v>0</v>
      </c>
      <c r="BI38">
        <v>0</v>
      </c>
      <c r="BJ38">
        <v>0</v>
      </c>
      <c r="BK38">
        <v>1</v>
      </c>
      <c r="BL38">
        <v>0</v>
      </c>
      <c r="BM38">
        <v>0</v>
      </c>
      <c r="BN38">
        <v>0</v>
      </c>
      <c r="BO38">
        <v>0</v>
      </c>
      <c r="BP38">
        <v>1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-1</v>
      </c>
      <c r="CE38">
        <v>8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-1</v>
      </c>
      <c r="CT38">
        <v>9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</row>
    <row r="39" spans="1:170" x14ac:dyDescent="0.25">
      <c r="A39" t="s">
        <v>210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-1</v>
      </c>
      <c r="EI39">
        <v>0</v>
      </c>
      <c r="EJ39">
        <v>0</v>
      </c>
      <c r="EK39">
        <v>0</v>
      </c>
      <c r="EL39">
        <v>0</v>
      </c>
      <c r="EM39">
        <v>1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</row>
    <row r="40" spans="1:170" x14ac:dyDescent="0.25">
      <c r="A40" t="s">
        <v>211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-0.2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-1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-0.2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</row>
    <row r="41" spans="1:170" x14ac:dyDescent="0.25">
      <c r="A41" t="s">
        <v>212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-1.387E-2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</row>
    <row r="42" spans="1:170" x14ac:dyDescent="0.25">
      <c r="A42" t="s">
        <v>213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-1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-1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</row>
    <row r="43" spans="1:170" x14ac:dyDescent="0.25">
      <c r="A43" t="s">
        <v>214</v>
      </c>
      <c r="B43">
        <v>0</v>
      </c>
      <c r="C43" s="13">
        <v>0</v>
      </c>
      <c r="D43">
        <v>0</v>
      </c>
      <c r="E43" s="1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-1</v>
      </c>
      <c r="AI43">
        <v>0.3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</row>
    <row r="44" spans="1:170" x14ac:dyDescent="0.25">
      <c r="A44" t="s">
        <v>215</v>
      </c>
      <c r="B44">
        <v>0</v>
      </c>
      <c r="C44" s="16">
        <f>-Cmol!AJ7</f>
        <v>-3.7699643538872058E-3</v>
      </c>
      <c r="D44" s="16">
        <f>-Cmol!AK7</f>
        <v>-3.822089595501098E-3</v>
      </c>
      <c r="E44" s="16">
        <f>-Cmol!AL7</f>
        <v>-3.7540019813573425E-3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9.8000000000000007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</row>
    <row r="45" spans="1:170" x14ac:dyDescent="0.25">
      <c r="A45" t="s">
        <v>216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-1</v>
      </c>
      <c r="CQ45">
        <v>0</v>
      </c>
      <c r="CR45">
        <v>0</v>
      </c>
      <c r="CS45">
        <v>0</v>
      </c>
      <c r="CT45">
        <v>0</v>
      </c>
      <c r="CU45">
        <v>1</v>
      </c>
      <c r="CV45">
        <v>0</v>
      </c>
      <c r="CW45">
        <v>0</v>
      </c>
      <c r="CX45">
        <v>0</v>
      </c>
      <c r="CY45">
        <v>-1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</row>
    <row r="46" spans="1:170" x14ac:dyDescent="0.25">
      <c r="A46" t="s">
        <v>338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-1</v>
      </c>
      <c r="AM46">
        <v>1</v>
      </c>
      <c r="AN46">
        <v>-1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-1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</row>
    <row r="47" spans="1:170" x14ac:dyDescent="0.25">
      <c r="A47" t="s">
        <v>336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1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-1</v>
      </c>
      <c r="FM47">
        <v>0</v>
      </c>
      <c r="FN47">
        <v>0</v>
      </c>
    </row>
    <row r="48" spans="1:170" x14ac:dyDescent="0.25">
      <c r="A48" t="s">
        <v>374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1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</row>
    <row r="49" spans="1:170" x14ac:dyDescent="0.25">
      <c r="A49" t="s">
        <v>217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</row>
    <row r="50" spans="1:170" x14ac:dyDescent="0.25">
      <c r="A50" t="s">
        <v>218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</v>
      </c>
      <c r="AQ50">
        <v>0</v>
      </c>
      <c r="AR50">
        <v>0</v>
      </c>
      <c r="AS50">
        <v>0</v>
      </c>
      <c r="AT50">
        <v>1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1</v>
      </c>
      <c r="CV50">
        <v>0</v>
      </c>
      <c r="CW50">
        <v>0</v>
      </c>
      <c r="CX50">
        <v>0</v>
      </c>
      <c r="CY50">
        <v>1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</row>
    <row r="51" spans="1:170" x14ac:dyDescent="0.25">
      <c r="A51" t="s">
        <v>219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1</v>
      </c>
      <c r="EL51">
        <v>-1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</row>
    <row r="52" spans="1:170" x14ac:dyDescent="0.25">
      <c r="A52" t="s">
        <v>220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-1</v>
      </c>
      <c r="EL52">
        <v>1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</row>
    <row r="53" spans="1:170" x14ac:dyDescent="0.25">
      <c r="A53" t="s">
        <v>221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-0.55000000000000004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</row>
    <row r="54" spans="1:170" x14ac:dyDescent="0.25">
      <c r="A54" t="s">
        <v>222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-1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-1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-1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</row>
    <row r="55" spans="1:170" x14ac:dyDescent="0.25">
      <c r="A55" t="s">
        <v>223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1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-1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1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</row>
    <row r="56" spans="1:170" x14ac:dyDescent="0.25">
      <c r="A56" t="s">
        <v>224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-1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1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-1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</row>
    <row r="57" spans="1:170" x14ac:dyDescent="0.25">
      <c r="A57" t="s">
        <v>225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-1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-1</v>
      </c>
      <c r="AT57">
        <v>-1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</row>
    <row r="58" spans="1:170" x14ac:dyDescent="0.25">
      <c r="A58" t="s">
        <v>226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-1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-1</v>
      </c>
      <c r="CV58">
        <v>0</v>
      </c>
      <c r="CW58">
        <v>0</v>
      </c>
      <c r="CX58">
        <v>1</v>
      </c>
      <c r="CY58">
        <v>1</v>
      </c>
      <c r="CZ58">
        <v>1</v>
      </c>
      <c r="DA58">
        <v>0</v>
      </c>
      <c r="DB58">
        <v>0</v>
      </c>
      <c r="DC58">
        <v>1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</row>
    <row r="59" spans="1:170" x14ac:dyDescent="0.25">
      <c r="A59" t="s">
        <v>227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-1</v>
      </c>
      <c r="AW59">
        <v>0</v>
      </c>
      <c r="AX59">
        <v>0</v>
      </c>
      <c r="AY59">
        <v>0</v>
      </c>
      <c r="AZ59">
        <v>1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</row>
    <row r="60" spans="1:170" x14ac:dyDescent="0.25">
      <c r="A60" t="s">
        <v>228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2</v>
      </c>
      <c r="P60">
        <v>-1</v>
      </c>
      <c r="Q60">
        <v>0</v>
      </c>
      <c r="R60">
        <v>0</v>
      </c>
      <c r="S60">
        <v>0</v>
      </c>
      <c r="T60">
        <v>1</v>
      </c>
      <c r="U60">
        <v>0</v>
      </c>
      <c r="V60">
        <v>-1</v>
      </c>
      <c r="W60">
        <v>-1.0209999999999999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-1</v>
      </c>
      <c r="AY60">
        <v>0</v>
      </c>
      <c r="AZ60">
        <v>0</v>
      </c>
      <c r="BA60">
        <v>1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-1</v>
      </c>
      <c r="BM60">
        <v>0</v>
      </c>
      <c r="BN60">
        <v>-2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-1</v>
      </c>
      <c r="CC60">
        <v>0</v>
      </c>
      <c r="CD60">
        <v>0</v>
      </c>
      <c r="CE60">
        <v>0</v>
      </c>
      <c r="CF60">
        <v>0</v>
      </c>
      <c r="CG60">
        <v>-1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-1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1</v>
      </c>
      <c r="DD60">
        <v>-1</v>
      </c>
      <c r="DE60">
        <v>0</v>
      </c>
      <c r="DF60">
        <v>0</v>
      </c>
      <c r="DG60">
        <v>0</v>
      </c>
      <c r="DH60">
        <v>-1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</row>
    <row r="61" spans="1:170" x14ac:dyDescent="0.25">
      <c r="A61" t="s">
        <v>229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-1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-2</v>
      </c>
      <c r="EK61">
        <v>0</v>
      </c>
      <c r="EL61">
        <v>0</v>
      </c>
      <c r="EM61">
        <v>0</v>
      </c>
      <c r="EN61">
        <v>0</v>
      </c>
      <c r="EO61">
        <v>-1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</row>
    <row r="62" spans="1:170" x14ac:dyDescent="0.25">
      <c r="A62" t="s">
        <v>230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-2</v>
      </c>
      <c r="P62">
        <v>0</v>
      </c>
      <c r="Q62">
        <v>0</v>
      </c>
      <c r="R62">
        <v>0</v>
      </c>
      <c r="S62">
        <v>0</v>
      </c>
      <c r="T62">
        <v>-1</v>
      </c>
      <c r="U62">
        <v>0</v>
      </c>
      <c r="V62">
        <v>0</v>
      </c>
      <c r="W62">
        <v>-0.5262</v>
      </c>
      <c r="X62">
        <v>0</v>
      </c>
      <c r="Y62">
        <v>0</v>
      </c>
      <c r="Z62">
        <v>0</v>
      </c>
      <c r="AA62">
        <v>-1</v>
      </c>
      <c r="AB62">
        <v>0</v>
      </c>
      <c r="AC62">
        <v>0</v>
      </c>
      <c r="AD62">
        <v>0</v>
      </c>
      <c r="AE62">
        <v>0</v>
      </c>
      <c r="AF62">
        <v>-1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1</v>
      </c>
      <c r="AY62">
        <v>0</v>
      </c>
      <c r="AZ62">
        <v>0</v>
      </c>
      <c r="BA62">
        <v>-1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-1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-1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</row>
    <row r="63" spans="1:170" x14ac:dyDescent="0.25">
      <c r="A63" t="s">
        <v>231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-1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-0.88919999999999999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1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</row>
    <row r="64" spans="1:170" x14ac:dyDescent="0.25">
      <c r="A64" t="s">
        <v>339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1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-1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</row>
    <row r="65" spans="1:170" x14ac:dyDescent="0.25">
      <c r="A65" t="s">
        <v>232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-1</v>
      </c>
      <c r="BA65">
        <v>1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</row>
    <row r="66" spans="1:170" x14ac:dyDescent="0.25">
      <c r="A66" t="s">
        <v>233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1</v>
      </c>
      <c r="BC66">
        <v>-1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</row>
    <row r="67" spans="1:170" x14ac:dyDescent="0.25">
      <c r="A67" t="s">
        <v>234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-0.2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-0.2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</row>
    <row r="68" spans="1:170" x14ac:dyDescent="0.25">
      <c r="A68" t="s">
        <v>235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2</v>
      </c>
      <c r="J68">
        <v>1</v>
      </c>
      <c r="K68">
        <v>2</v>
      </c>
      <c r="L68">
        <v>2</v>
      </c>
      <c r="M68">
        <v>-1</v>
      </c>
      <c r="N68">
        <v>0</v>
      </c>
      <c r="O68">
        <v>8</v>
      </c>
      <c r="P68">
        <v>0</v>
      </c>
      <c r="Q68">
        <v>0</v>
      </c>
      <c r="R68">
        <v>2</v>
      </c>
      <c r="S68">
        <v>3</v>
      </c>
      <c r="T68">
        <v>1</v>
      </c>
      <c r="U68">
        <v>-2</v>
      </c>
      <c r="V68">
        <v>0</v>
      </c>
      <c r="W68">
        <v>0</v>
      </c>
      <c r="X68">
        <v>0</v>
      </c>
      <c r="Y68">
        <v>0</v>
      </c>
      <c r="Z68">
        <v>1</v>
      </c>
      <c r="AA68">
        <v>3</v>
      </c>
      <c r="AB68">
        <v>0</v>
      </c>
      <c r="AC68">
        <v>1</v>
      </c>
      <c r="AD68">
        <v>0</v>
      </c>
      <c r="AE68">
        <v>0</v>
      </c>
      <c r="AF68">
        <v>2</v>
      </c>
      <c r="AG68">
        <v>-2</v>
      </c>
      <c r="AH68">
        <v>-1</v>
      </c>
      <c r="AI68">
        <v>-1</v>
      </c>
      <c r="AJ68">
        <v>0</v>
      </c>
      <c r="AK68">
        <v>0</v>
      </c>
      <c r="AL68">
        <v>0</v>
      </c>
      <c r="AM68">
        <v>-1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2</v>
      </c>
      <c r="AT68">
        <v>0</v>
      </c>
      <c r="AU68">
        <v>1</v>
      </c>
      <c r="AV68">
        <v>0</v>
      </c>
      <c r="AW68">
        <v>-1</v>
      </c>
      <c r="AX68">
        <v>1</v>
      </c>
      <c r="AY68">
        <v>0</v>
      </c>
      <c r="AZ68">
        <v>0</v>
      </c>
      <c r="BA68">
        <v>4</v>
      </c>
      <c r="BB68">
        <v>-1</v>
      </c>
      <c r="BC68">
        <v>0</v>
      </c>
      <c r="BD68">
        <v>0</v>
      </c>
      <c r="BE68">
        <v>1</v>
      </c>
      <c r="BF68">
        <v>2</v>
      </c>
      <c r="BG68">
        <v>6</v>
      </c>
      <c r="BH68">
        <v>0</v>
      </c>
      <c r="BI68">
        <v>0</v>
      </c>
      <c r="BJ68">
        <v>0</v>
      </c>
      <c r="BK68">
        <v>1</v>
      </c>
      <c r="BL68">
        <v>0</v>
      </c>
      <c r="BM68">
        <v>0</v>
      </c>
      <c r="BN68">
        <v>0</v>
      </c>
      <c r="BO68">
        <v>1</v>
      </c>
      <c r="BP68">
        <v>1</v>
      </c>
      <c r="BQ68">
        <v>1</v>
      </c>
      <c r="BR68">
        <v>-1</v>
      </c>
      <c r="BS68">
        <v>-1</v>
      </c>
      <c r="BT68">
        <v>-1</v>
      </c>
      <c r="BU68">
        <v>5</v>
      </c>
      <c r="BV68">
        <v>0</v>
      </c>
      <c r="BW68">
        <v>0</v>
      </c>
      <c r="BX68">
        <v>0</v>
      </c>
      <c r="BY68">
        <v>3</v>
      </c>
      <c r="BZ68">
        <v>0</v>
      </c>
      <c r="CA68">
        <v>0</v>
      </c>
      <c r="CB68">
        <v>-1</v>
      </c>
      <c r="CC68">
        <v>-1</v>
      </c>
      <c r="CD68">
        <v>1</v>
      </c>
      <c r="CE68">
        <v>-20</v>
      </c>
      <c r="CF68">
        <v>0</v>
      </c>
      <c r="CG68">
        <v>-2</v>
      </c>
      <c r="CH68">
        <v>4</v>
      </c>
      <c r="CI68">
        <v>1</v>
      </c>
      <c r="CJ68">
        <v>-1</v>
      </c>
      <c r="CK68">
        <v>0</v>
      </c>
      <c r="CL68">
        <v>0</v>
      </c>
      <c r="CM68">
        <v>0</v>
      </c>
      <c r="CN68">
        <v>1</v>
      </c>
      <c r="CO68">
        <v>1</v>
      </c>
      <c r="CP68">
        <v>0</v>
      </c>
      <c r="CQ68">
        <v>-3</v>
      </c>
      <c r="CR68">
        <v>-1</v>
      </c>
      <c r="CS68">
        <v>1</v>
      </c>
      <c r="CT68">
        <v>-23</v>
      </c>
      <c r="CU68">
        <v>0</v>
      </c>
      <c r="CV68">
        <v>0</v>
      </c>
      <c r="CW68">
        <v>1</v>
      </c>
      <c r="CX68">
        <v>0</v>
      </c>
      <c r="CY68">
        <v>0</v>
      </c>
      <c r="CZ68">
        <v>0</v>
      </c>
      <c r="DA68">
        <v>-1</v>
      </c>
      <c r="DB68">
        <v>1</v>
      </c>
      <c r="DC68">
        <v>1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1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2</v>
      </c>
      <c r="DQ68">
        <v>3</v>
      </c>
      <c r="DR68">
        <v>-4</v>
      </c>
      <c r="DS68">
        <v>-1</v>
      </c>
      <c r="DT68">
        <v>0</v>
      </c>
      <c r="DU68">
        <v>0</v>
      </c>
      <c r="DV68">
        <v>0</v>
      </c>
      <c r="DW68">
        <v>0</v>
      </c>
      <c r="DX68">
        <v>-10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10</v>
      </c>
      <c r="EF68">
        <v>6</v>
      </c>
      <c r="EG68">
        <v>0</v>
      </c>
      <c r="EH68">
        <v>0</v>
      </c>
      <c r="EI68">
        <v>0</v>
      </c>
      <c r="EJ68">
        <v>0</v>
      </c>
      <c r="EK68">
        <v>6</v>
      </c>
      <c r="EL68">
        <v>0</v>
      </c>
      <c r="EM68">
        <v>0</v>
      </c>
      <c r="EN68">
        <v>0</v>
      </c>
      <c r="EO68">
        <v>0</v>
      </c>
      <c r="EP68">
        <v>-1</v>
      </c>
      <c r="EQ68">
        <v>0</v>
      </c>
      <c r="ER68">
        <v>-1</v>
      </c>
      <c r="ES68">
        <v>0</v>
      </c>
      <c r="ET68">
        <v>0</v>
      </c>
      <c r="EU68">
        <v>0</v>
      </c>
      <c r="EV68">
        <v>-1</v>
      </c>
      <c r="EW68">
        <v>1</v>
      </c>
      <c r="EX68">
        <v>-2</v>
      </c>
      <c r="EY68">
        <v>-2</v>
      </c>
      <c r="EZ68">
        <v>0</v>
      </c>
      <c r="FA68">
        <v>-1</v>
      </c>
      <c r="FB68">
        <v>-1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1</v>
      </c>
    </row>
    <row r="69" spans="1:170" x14ac:dyDescent="0.25">
      <c r="A69" t="s">
        <v>170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-1</v>
      </c>
      <c r="DJ69">
        <v>1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-2</v>
      </c>
      <c r="DQ69">
        <v>-3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-1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</row>
    <row r="70" spans="1:170" x14ac:dyDescent="0.25">
      <c r="A70" t="s">
        <v>236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-6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1</v>
      </c>
      <c r="DB70">
        <v>-1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4</v>
      </c>
      <c r="DS70">
        <v>1</v>
      </c>
      <c r="DT70">
        <v>0</v>
      </c>
      <c r="DU70">
        <v>0</v>
      </c>
      <c r="DV70">
        <v>2</v>
      </c>
      <c r="DW70">
        <v>2</v>
      </c>
      <c r="DX70">
        <v>7</v>
      </c>
      <c r="DY70">
        <v>-1</v>
      </c>
      <c r="DZ70">
        <v>0</v>
      </c>
      <c r="EA70">
        <v>0</v>
      </c>
      <c r="EB70">
        <v>0</v>
      </c>
      <c r="EC70">
        <v>-1</v>
      </c>
      <c r="ED70">
        <v>1</v>
      </c>
      <c r="EE70">
        <v>-11</v>
      </c>
      <c r="EF70">
        <v>-7</v>
      </c>
      <c r="EG70">
        <v>0</v>
      </c>
      <c r="EH70">
        <v>0</v>
      </c>
      <c r="EI70">
        <v>-2</v>
      </c>
      <c r="EJ70">
        <v>-1</v>
      </c>
      <c r="EK70">
        <v>-6</v>
      </c>
      <c r="EL70">
        <v>0</v>
      </c>
      <c r="EM70">
        <v>0</v>
      </c>
      <c r="EN70">
        <v>-1</v>
      </c>
      <c r="EO70">
        <v>0</v>
      </c>
      <c r="EP70">
        <v>1</v>
      </c>
      <c r="EQ70">
        <v>0</v>
      </c>
      <c r="ER70">
        <v>1</v>
      </c>
      <c r="ES70">
        <v>0</v>
      </c>
      <c r="ET70">
        <v>0</v>
      </c>
      <c r="EU70">
        <v>0</v>
      </c>
      <c r="EV70">
        <v>1</v>
      </c>
      <c r="EW70">
        <v>-1</v>
      </c>
      <c r="EX70">
        <v>2</v>
      </c>
      <c r="EY70">
        <v>2</v>
      </c>
      <c r="EZ70">
        <v>0</v>
      </c>
      <c r="FA70">
        <v>1</v>
      </c>
      <c r="FB70">
        <v>1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</row>
    <row r="71" spans="1:170" x14ac:dyDescent="0.25">
      <c r="A71" t="s">
        <v>237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-1</v>
      </c>
      <c r="J71">
        <v>-1</v>
      </c>
      <c r="K71">
        <v>-1</v>
      </c>
      <c r="L71">
        <v>-1</v>
      </c>
      <c r="M71">
        <v>0</v>
      </c>
      <c r="N71">
        <v>0</v>
      </c>
      <c r="O71">
        <v>-2</v>
      </c>
      <c r="P71">
        <v>0</v>
      </c>
      <c r="Q71">
        <v>0</v>
      </c>
      <c r="R71">
        <v>0</v>
      </c>
      <c r="S71">
        <v>0</v>
      </c>
      <c r="T71">
        <v>-1</v>
      </c>
      <c r="U71">
        <v>0</v>
      </c>
      <c r="V71">
        <v>0</v>
      </c>
      <c r="W71">
        <v>0</v>
      </c>
      <c r="X71">
        <v>0</v>
      </c>
      <c r="Y71">
        <v>0</v>
      </c>
      <c r="Z71">
        <v>-1</v>
      </c>
      <c r="AA71">
        <v>-2</v>
      </c>
      <c r="AB71">
        <v>0</v>
      </c>
      <c r="AC71">
        <v>-1</v>
      </c>
      <c r="AD71">
        <v>0</v>
      </c>
      <c r="AE71">
        <v>0</v>
      </c>
      <c r="AF71">
        <v>-1</v>
      </c>
      <c r="AG71">
        <v>0</v>
      </c>
      <c r="AH71">
        <v>0</v>
      </c>
      <c r="AI71">
        <v>1</v>
      </c>
      <c r="AJ71">
        <v>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-1</v>
      </c>
      <c r="AQ71">
        <v>-1</v>
      </c>
      <c r="AR71">
        <v>-1</v>
      </c>
      <c r="AS71">
        <v>-1</v>
      </c>
      <c r="AT71">
        <v>0</v>
      </c>
      <c r="AU71">
        <v>0</v>
      </c>
      <c r="AV71">
        <v>0</v>
      </c>
      <c r="AW71">
        <v>1</v>
      </c>
      <c r="AX71">
        <v>0</v>
      </c>
      <c r="AY71">
        <v>1</v>
      </c>
      <c r="AZ71">
        <v>0</v>
      </c>
      <c r="BA71">
        <v>-2</v>
      </c>
      <c r="BB71">
        <v>0</v>
      </c>
      <c r="BC71">
        <v>0</v>
      </c>
      <c r="BD71">
        <v>1</v>
      </c>
      <c r="BE71">
        <v>-1</v>
      </c>
      <c r="BF71">
        <v>0</v>
      </c>
      <c r="BG71">
        <v>-3</v>
      </c>
      <c r="BH71">
        <v>0</v>
      </c>
      <c r="BI71">
        <v>0</v>
      </c>
      <c r="BJ71">
        <v>1</v>
      </c>
      <c r="BK71">
        <v>-1</v>
      </c>
      <c r="BL71">
        <v>0</v>
      </c>
      <c r="BM71">
        <v>0</v>
      </c>
      <c r="BN71">
        <v>0</v>
      </c>
      <c r="BO71">
        <v>0</v>
      </c>
      <c r="BP71">
        <v>-1</v>
      </c>
      <c r="BQ71">
        <v>-2</v>
      </c>
      <c r="BR71">
        <v>0</v>
      </c>
      <c r="BS71">
        <v>1</v>
      </c>
      <c r="BT71">
        <v>0</v>
      </c>
      <c r="BU71">
        <v>0</v>
      </c>
      <c r="BV71">
        <v>0</v>
      </c>
      <c r="BW71">
        <v>0</v>
      </c>
      <c r="BX71">
        <v>-1</v>
      </c>
      <c r="BY71">
        <v>0</v>
      </c>
      <c r="BZ71">
        <v>0</v>
      </c>
      <c r="CA71">
        <v>0</v>
      </c>
      <c r="CB71">
        <v>1</v>
      </c>
      <c r="CC71">
        <v>2</v>
      </c>
      <c r="CD71">
        <v>-1</v>
      </c>
      <c r="CE71">
        <v>6</v>
      </c>
      <c r="CF71">
        <v>-1</v>
      </c>
      <c r="CG71">
        <v>1</v>
      </c>
      <c r="CH71">
        <v>-2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-1</v>
      </c>
      <c r="CO71">
        <v>-1</v>
      </c>
      <c r="CP71">
        <v>0</v>
      </c>
      <c r="CQ71">
        <v>2</v>
      </c>
      <c r="CR71">
        <v>2</v>
      </c>
      <c r="CS71">
        <v>-1</v>
      </c>
      <c r="CT71">
        <v>7</v>
      </c>
      <c r="CU71">
        <v>0</v>
      </c>
      <c r="CV71">
        <v>0</v>
      </c>
      <c r="CW71">
        <v>-1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1</v>
      </c>
      <c r="DD71">
        <v>0</v>
      </c>
      <c r="DE71">
        <v>0</v>
      </c>
      <c r="DF71">
        <v>0</v>
      </c>
      <c r="DG71">
        <v>2</v>
      </c>
      <c r="DH71">
        <v>0</v>
      </c>
      <c r="DI71">
        <v>0</v>
      </c>
      <c r="DJ71">
        <v>-1</v>
      </c>
      <c r="DK71">
        <v>0</v>
      </c>
      <c r="DL71">
        <v>0</v>
      </c>
      <c r="DM71">
        <v>-1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-1</v>
      </c>
    </row>
    <row r="72" spans="1:170" x14ac:dyDescent="0.25">
      <c r="A72" t="s">
        <v>171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1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-1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</row>
    <row r="73" spans="1:170" x14ac:dyDescent="0.25">
      <c r="A73" t="s">
        <v>238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-1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1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1</v>
      </c>
      <c r="DU73">
        <v>-1</v>
      </c>
      <c r="DV73">
        <v>-1</v>
      </c>
      <c r="DW73">
        <v>-1</v>
      </c>
      <c r="DX73">
        <v>3</v>
      </c>
      <c r="DY73">
        <v>0</v>
      </c>
      <c r="DZ73">
        <v>-1</v>
      </c>
      <c r="EA73">
        <v>0</v>
      </c>
      <c r="EB73">
        <v>0</v>
      </c>
      <c r="EC73">
        <v>1</v>
      </c>
      <c r="ED73">
        <v>0</v>
      </c>
      <c r="EE73">
        <v>1</v>
      </c>
      <c r="EF73">
        <v>1</v>
      </c>
      <c r="EG73">
        <v>0</v>
      </c>
      <c r="EH73">
        <v>0</v>
      </c>
      <c r="EI73">
        <v>1</v>
      </c>
      <c r="EJ73">
        <v>0</v>
      </c>
      <c r="EK73">
        <v>1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</row>
    <row r="74" spans="1:170" x14ac:dyDescent="0.25">
      <c r="A74" t="s">
        <v>434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-1</v>
      </c>
      <c r="AL74">
        <v>1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</row>
    <row r="75" spans="1:170" x14ac:dyDescent="0.25">
      <c r="A75" t="s">
        <v>435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-1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</row>
    <row r="76" spans="1:170" x14ac:dyDescent="0.25">
      <c r="A76" t="s">
        <v>239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-1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1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</row>
    <row r="77" spans="1:170" x14ac:dyDescent="0.25">
      <c r="A77" t="s">
        <v>240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-1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</row>
    <row r="78" spans="1:170" x14ac:dyDescent="0.25">
      <c r="A78" t="s">
        <v>241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1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-1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</row>
    <row r="79" spans="1:170" x14ac:dyDescent="0.25">
      <c r="A79" t="s">
        <v>242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-1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1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-1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1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</row>
    <row r="80" spans="1:170" x14ac:dyDescent="0.25">
      <c r="A80" t="s">
        <v>243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-0.19259999999999999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1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</row>
    <row r="81" spans="1:170" x14ac:dyDescent="0.25">
      <c r="A81" t="s">
        <v>244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-1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-1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</row>
    <row r="82" spans="1:170" x14ac:dyDescent="0.25">
      <c r="A82" t="s">
        <v>340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-1</v>
      </c>
      <c r="BI82">
        <v>-1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1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</row>
    <row r="83" spans="1:170" x14ac:dyDescent="0.25">
      <c r="A83" t="s">
        <v>245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-1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1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-1</v>
      </c>
      <c r="EB83">
        <v>-1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</row>
    <row r="84" spans="1:170" x14ac:dyDescent="0.25">
      <c r="A84" t="s">
        <v>246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-0.58940000000000003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1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</row>
    <row r="85" spans="1:170" x14ac:dyDescent="0.25">
      <c r="A85" t="s">
        <v>247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-1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1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</row>
    <row r="86" spans="1:170" x14ac:dyDescent="0.25">
      <c r="A86" t="s">
        <v>248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-1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-1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</row>
    <row r="87" spans="1:170" x14ac:dyDescent="0.25">
      <c r="A87" t="s">
        <v>249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1</v>
      </c>
      <c r="BL87">
        <v>-1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</row>
    <row r="88" spans="1:170" x14ac:dyDescent="0.25">
      <c r="A88" t="s">
        <v>250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-0.80079999999999996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1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</row>
    <row r="89" spans="1:170" x14ac:dyDescent="0.25">
      <c r="A89" t="s">
        <v>251</v>
      </c>
      <c r="B89">
        <v>0</v>
      </c>
      <c r="C89" s="17">
        <f>-Cmol!AJ8</f>
        <v>-9.7863191221446696E-2</v>
      </c>
      <c r="D89" s="17">
        <f>-Cmol!AK8</f>
        <v>-0.10246690890677085</v>
      </c>
      <c r="E89" s="17">
        <f>-Cmol!AL8</f>
        <v>-0.12998868808206315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47.22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</row>
    <row r="90" spans="1:170" x14ac:dyDescent="0.25">
      <c r="A90" t="s">
        <v>252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-0.65700000000000003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1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</row>
    <row r="91" spans="1:170" x14ac:dyDescent="0.25">
      <c r="A91" t="s">
        <v>253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-7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-8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</row>
    <row r="92" spans="1:170" x14ac:dyDescent="0.25">
      <c r="A92" t="s">
        <v>254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-1</v>
      </c>
      <c r="BP92">
        <v>1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-1</v>
      </c>
      <c r="ER92">
        <v>0</v>
      </c>
      <c r="ES92">
        <v>-1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</row>
    <row r="93" spans="1:170" x14ac:dyDescent="0.25">
      <c r="A93" t="s">
        <v>255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1</v>
      </c>
      <c r="EA93">
        <v>0</v>
      </c>
      <c r="EB93">
        <v>0</v>
      </c>
      <c r="EC93">
        <v>0</v>
      </c>
      <c r="ED93">
        <v>-1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1</v>
      </c>
      <c r="ER93">
        <v>0</v>
      </c>
      <c r="ES93">
        <v>1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</row>
    <row r="94" spans="1:170" x14ac:dyDescent="0.25">
      <c r="A94" t="s">
        <v>256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-0.1138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-1</v>
      </c>
      <c r="BR94">
        <v>1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</row>
    <row r="95" spans="1:170" x14ac:dyDescent="0.25">
      <c r="A95" t="s">
        <v>257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-0.3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1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1</v>
      </c>
      <c r="BT95">
        <v>-1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</row>
    <row r="96" spans="1:170" x14ac:dyDescent="0.25">
      <c r="A96" t="s">
        <v>258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-1</v>
      </c>
      <c r="BS96">
        <v>0</v>
      </c>
      <c r="BT96">
        <v>1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</row>
    <row r="97" spans="1:170" x14ac:dyDescent="0.25">
      <c r="A97" t="s">
        <v>259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-1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-1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-1</v>
      </c>
      <c r="BB97">
        <v>1</v>
      </c>
      <c r="BC97">
        <v>0</v>
      </c>
      <c r="BD97">
        <v>0</v>
      </c>
      <c r="BE97">
        <v>0</v>
      </c>
      <c r="BF97">
        <v>0</v>
      </c>
      <c r="BG97">
        <v>-2</v>
      </c>
      <c r="BH97">
        <v>0</v>
      </c>
      <c r="BI97">
        <v>0</v>
      </c>
      <c r="BJ97">
        <v>0</v>
      </c>
      <c r="BK97">
        <v>0</v>
      </c>
      <c r="BL97">
        <v>-1</v>
      </c>
      <c r="BM97">
        <v>0</v>
      </c>
      <c r="BN97">
        <v>-1</v>
      </c>
      <c r="BO97">
        <v>-1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1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-1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</row>
    <row r="98" spans="1:170" x14ac:dyDescent="0.25">
      <c r="A98" t="s">
        <v>260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-1</v>
      </c>
      <c r="DW98">
        <v>0</v>
      </c>
      <c r="DX98">
        <v>0</v>
      </c>
      <c r="DY98">
        <v>1</v>
      </c>
      <c r="DZ98">
        <v>0</v>
      </c>
      <c r="EA98">
        <v>-1</v>
      </c>
      <c r="EB98">
        <v>0</v>
      </c>
      <c r="EC98">
        <v>0</v>
      </c>
      <c r="ED98">
        <v>-1</v>
      </c>
      <c r="EE98">
        <v>1</v>
      </c>
      <c r="EF98">
        <v>1</v>
      </c>
      <c r="EG98">
        <v>-1</v>
      </c>
      <c r="EH98">
        <v>-1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</row>
    <row r="99" spans="1:170" x14ac:dyDescent="0.25">
      <c r="A99" t="s">
        <v>261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-1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1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1</v>
      </c>
      <c r="BB99">
        <v>-1</v>
      </c>
      <c r="BC99">
        <v>0</v>
      </c>
      <c r="BD99">
        <v>0</v>
      </c>
      <c r="BE99">
        <v>0</v>
      </c>
      <c r="BF99">
        <v>0</v>
      </c>
      <c r="BG99">
        <v>2</v>
      </c>
      <c r="BH99">
        <v>0</v>
      </c>
      <c r="BI99">
        <v>0</v>
      </c>
      <c r="BJ99">
        <v>0</v>
      </c>
      <c r="BK99">
        <v>0</v>
      </c>
      <c r="BL99">
        <v>1</v>
      </c>
      <c r="BM99">
        <v>0</v>
      </c>
      <c r="BN99">
        <v>1</v>
      </c>
      <c r="BO99">
        <v>1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-1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1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</row>
    <row r="100" spans="1:170" x14ac:dyDescent="0.25">
      <c r="A100" t="s">
        <v>262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1</v>
      </c>
      <c r="DW100">
        <v>0</v>
      </c>
      <c r="DX100">
        <v>0</v>
      </c>
      <c r="DY100">
        <v>-1</v>
      </c>
      <c r="DZ100">
        <v>0</v>
      </c>
      <c r="EA100">
        <v>1</v>
      </c>
      <c r="EB100">
        <v>0</v>
      </c>
      <c r="EC100">
        <v>0</v>
      </c>
      <c r="ED100">
        <v>1</v>
      </c>
      <c r="EE100">
        <v>-1</v>
      </c>
      <c r="EF100">
        <v>-1</v>
      </c>
      <c r="EG100">
        <v>1</v>
      </c>
      <c r="EH100">
        <v>1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</row>
    <row r="101" spans="1:170" x14ac:dyDescent="0.25">
      <c r="A101" t="s">
        <v>263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-1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-2</v>
      </c>
      <c r="AT101">
        <v>0</v>
      </c>
      <c r="AU101">
        <v>0</v>
      </c>
      <c r="AV101">
        <v>0</v>
      </c>
      <c r="AW101">
        <v>1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-1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2</v>
      </c>
      <c r="BO101">
        <v>0</v>
      </c>
      <c r="BP101">
        <v>0</v>
      </c>
      <c r="BQ101">
        <v>0</v>
      </c>
      <c r="BR101">
        <v>0</v>
      </c>
      <c r="BS101">
        <v>1</v>
      </c>
      <c r="BT101">
        <v>1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1</v>
      </c>
      <c r="CD101">
        <v>0</v>
      </c>
      <c r="CE101">
        <v>14</v>
      </c>
      <c r="CF101">
        <v>0</v>
      </c>
      <c r="CG101">
        <v>2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1</v>
      </c>
      <c r="CQ101">
        <v>4</v>
      </c>
      <c r="CR101">
        <v>1</v>
      </c>
      <c r="CS101">
        <v>0</v>
      </c>
      <c r="CT101">
        <v>16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-1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</row>
    <row r="102" spans="1:170" x14ac:dyDescent="0.25">
      <c r="A102" t="s">
        <v>264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-1</v>
      </c>
      <c r="DX102">
        <v>0</v>
      </c>
      <c r="DY102">
        <v>0</v>
      </c>
      <c r="DZ102">
        <v>0</v>
      </c>
      <c r="EA102">
        <v>0</v>
      </c>
      <c r="EB102">
        <v>-1</v>
      </c>
      <c r="EC102">
        <v>1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1</v>
      </c>
      <c r="EJ102">
        <v>1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</row>
    <row r="103" spans="1:170" x14ac:dyDescent="0.25">
      <c r="A103" t="s">
        <v>265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-2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-1</v>
      </c>
      <c r="AI103">
        <v>-1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2</v>
      </c>
      <c r="AT103">
        <v>0</v>
      </c>
      <c r="AU103">
        <v>0</v>
      </c>
      <c r="AV103">
        <v>0</v>
      </c>
      <c r="AW103">
        <v>-1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1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-2</v>
      </c>
      <c r="BO103">
        <v>0</v>
      </c>
      <c r="BP103">
        <v>0</v>
      </c>
      <c r="BQ103">
        <v>0</v>
      </c>
      <c r="BR103">
        <v>0</v>
      </c>
      <c r="BS103">
        <v>-1</v>
      </c>
      <c r="BT103">
        <v>-1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-1</v>
      </c>
      <c r="CD103">
        <v>0</v>
      </c>
      <c r="CE103">
        <v>-14</v>
      </c>
      <c r="CF103">
        <v>0</v>
      </c>
      <c r="CG103">
        <v>-2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-1</v>
      </c>
      <c r="CQ103">
        <v>-4</v>
      </c>
      <c r="CR103">
        <v>-1</v>
      </c>
      <c r="CS103">
        <v>0</v>
      </c>
      <c r="CT103">
        <v>-16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1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</row>
    <row r="104" spans="1:170" x14ac:dyDescent="0.25">
      <c r="A104" t="s">
        <v>266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1</v>
      </c>
      <c r="DX104">
        <v>0</v>
      </c>
      <c r="DY104">
        <v>0</v>
      </c>
      <c r="DZ104">
        <v>0</v>
      </c>
      <c r="EA104">
        <v>0</v>
      </c>
      <c r="EB104">
        <v>1</v>
      </c>
      <c r="EC104">
        <v>-1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-1</v>
      </c>
      <c r="EJ104">
        <v>-1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</row>
    <row r="105" spans="1:170" x14ac:dyDescent="0.25">
      <c r="A105" t="s">
        <v>267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-1</v>
      </c>
      <c r="AX105">
        <v>-1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1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1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</row>
    <row r="106" spans="1:170" x14ac:dyDescent="0.25">
      <c r="A106" t="s">
        <v>173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-1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-1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</row>
    <row r="107" spans="1:170" x14ac:dyDescent="0.25">
      <c r="A107" t="s">
        <v>268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1</v>
      </c>
      <c r="EO107">
        <v>0</v>
      </c>
      <c r="EP107">
        <v>-1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</row>
    <row r="108" spans="1:170" x14ac:dyDescent="0.25">
      <c r="A108" t="s">
        <v>269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-1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-1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-1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-1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-0.5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1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</row>
    <row r="109" spans="1:170" x14ac:dyDescent="0.25">
      <c r="A109" t="s">
        <v>176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-1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-1</v>
      </c>
      <c r="FJ109">
        <v>0</v>
      </c>
      <c r="FK109">
        <v>0</v>
      </c>
      <c r="FL109">
        <v>0</v>
      </c>
      <c r="FM109">
        <v>0</v>
      </c>
      <c r="FN109">
        <v>0</v>
      </c>
    </row>
    <row r="110" spans="1:170" x14ac:dyDescent="0.25">
      <c r="A110" t="s">
        <v>270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-0.5</v>
      </c>
      <c r="BV110">
        <v>1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-0.5</v>
      </c>
      <c r="EF110">
        <v>-0.5</v>
      </c>
      <c r="EG110">
        <v>0</v>
      </c>
      <c r="EH110">
        <v>0</v>
      </c>
      <c r="EI110">
        <v>0</v>
      </c>
      <c r="EJ110">
        <v>0</v>
      </c>
      <c r="EK110">
        <v>-0.5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</row>
    <row r="111" spans="1:170" x14ac:dyDescent="0.25">
      <c r="A111" t="s">
        <v>271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-1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1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</row>
    <row r="112" spans="1:170" x14ac:dyDescent="0.25">
      <c r="A112" t="s">
        <v>272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1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-1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</row>
    <row r="113" spans="1:170" x14ac:dyDescent="0.25">
      <c r="A113" t="s">
        <v>273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-1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</row>
    <row r="114" spans="1:170" x14ac:dyDescent="0.25">
      <c r="A114" t="s">
        <v>274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-1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1</v>
      </c>
      <c r="EO114">
        <v>0</v>
      </c>
      <c r="EP114">
        <v>0</v>
      </c>
      <c r="EQ114">
        <v>0</v>
      </c>
      <c r="ER114">
        <v>1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</row>
    <row r="115" spans="1:170" x14ac:dyDescent="0.25">
      <c r="A115" t="s">
        <v>275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-1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-1</v>
      </c>
      <c r="BF115">
        <v>0</v>
      </c>
      <c r="BG115">
        <v>1</v>
      </c>
      <c r="BH115">
        <v>1</v>
      </c>
      <c r="BI115">
        <v>0</v>
      </c>
      <c r="BJ115">
        <v>0</v>
      </c>
      <c r="BK115">
        <v>0</v>
      </c>
      <c r="BL115">
        <v>1</v>
      </c>
      <c r="BM115">
        <v>0</v>
      </c>
      <c r="BN115">
        <v>2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1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1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1</v>
      </c>
      <c r="DE115">
        <v>0</v>
      </c>
      <c r="DF115">
        <v>0</v>
      </c>
      <c r="DG115">
        <v>0</v>
      </c>
      <c r="DH115">
        <v>1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1</v>
      </c>
      <c r="ET115">
        <v>-1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</row>
    <row r="116" spans="1:170" x14ac:dyDescent="0.25">
      <c r="A116" t="s">
        <v>276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1</v>
      </c>
      <c r="EB116">
        <v>1</v>
      </c>
      <c r="EC116">
        <v>1</v>
      </c>
      <c r="ED116">
        <v>0</v>
      </c>
      <c r="EE116">
        <v>0</v>
      </c>
      <c r="EF116">
        <v>0</v>
      </c>
      <c r="EG116">
        <v>0</v>
      </c>
      <c r="EH116">
        <v>-1</v>
      </c>
      <c r="EI116">
        <v>0</v>
      </c>
      <c r="EJ116">
        <v>1</v>
      </c>
      <c r="EK116">
        <v>0</v>
      </c>
      <c r="EL116">
        <v>0</v>
      </c>
      <c r="EM116">
        <v>0</v>
      </c>
      <c r="EN116">
        <v>0</v>
      </c>
      <c r="EO116">
        <v>1</v>
      </c>
      <c r="EP116">
        <v>0</v>
      </c>
      <c r="EQ116">
        <v>0</v>
      </c>
      <c r="ER116">
        <v>0</v>
      </c>
      <c r="ES116">
        <v>-1</v>
      </c>
      <c r="ET116">
        <v>1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</row>
    <row r="117" spans="1:170" x14ac:dyDescent="0.25">
      <c r="A117" t="s">
        <v>277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-1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-1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1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</row>
    <row r="118" spans="1:170" x14ac:dyDescent="0.25">
      <c r="A118" t="s">
        <v>278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1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-1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-1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</row>
    <row r="119" spans="1:170" x14ac:dyDescent="0.25">
      <c r="A119" t="s">
        <v>279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-1.7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1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</row>
    <row r="120" spans="1:170" x14ac:dyDescent="0.25">
      <c r="A120" t="s">
        <v>280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-1</v>
      </c>
      <c r="T120">
        <v>0</v>
      </c>
      <c r="U120">
        <v>0</v>
      </c>
      <c r="V120">
        <v>0</v>
      </c>
      <c r="W120">
        <v>-2.3820000000000001E-2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1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</row>
    <row r="121" spans="1:170" x14ac:dyDescent="0.25">
      <c r="A121" t="s">
        <v>281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1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-1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</row>
    <row r="122" spans="1:170" x14ac:dyDescent="0.25">
      <c r="A122" t="s">
        <v>282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-1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-1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1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-1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1</v>
      </c>
      <c r="DB122">
        <v>-1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1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1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</row>
    <row r="123" spans="1:170" x14ac:dyDescent="0.25">
      <c r="A123" t="s">
        <v>283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-1</v>
      </c>
      <c r="DB123">
        <v>1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1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-1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-1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</row>
    <row r="124" spans="1:170" x14ac:dyDescent="0.25">
      <c r="A124" t="s">
        <v>284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1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-1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-2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</row>
    <row r="125" spans="1:170" x14ac:dyDescent="0.25">
      <c r="A125" t="s">
        <v>285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-1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-1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</row>
    <row r="126" spans="1:170" x14ac:dyDescent="0.25">
      <c r="A126" t="s">
        <v>286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-11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1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</row>
    <row r="127" spans="1:170" x14ac:dyDescent="0.25">
      <c r="A127" t="s">
        <v>287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-4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-1</v>
      </c>
      <c r="BZ127">
        <v>1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</row>
    <row r="128" spans="1:170" x14ac:dyDescent="0.25">
      <c r="A128" t="s">
        <v>288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-3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-1</v>
      </c>
      <c r="CA128">
        <v>1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</row>
    <row r="129" spans="1:170" x14ac:dyDescent="0.25">
      <c r="A129" t="s">
        <v>289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-0.37580000000000002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1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</row>
    <row r="130" spans="1:170" x14ac:dyDescent="0.25">
      <c r="A130" t="s">
        <v>290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4</v>
      </c>
      <c r="P130">
        <v>0</v>
      </c>
      <c r="Q130">
        <v>0</v>
      </c>
      <c r="R130">
        <v>1</v>
      </c>
      <c r="S130">
        <v>1</v>
      </c>
      <c r="T130">
        <v>1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2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1</v>
      </c>
      <c r="AQ130">
        <v>1</v>
      </c>
      <c r="AR130">
        <v>0</v>
      </c>
      <c r="AS130">
        <v>0</v>
      </c>
      <c r="AT130">
        <v>0</v>
      </c>
      <c r="AU130">
        <v>-1</v>
      </c>
      <c r="AV130">
        <v>0</v>
      </c>
      <c r="AW130">
        <v>0</v>
      </c>
      <c r="AX130">
        <v>1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1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3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2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2</v>
      </c>
      <c r="CE130">
        <v>0</v>
      </c>
      <c r="CF130">
        <v>2</v>
      </c>
      <c r="CG130">
        <v>1</v>
      </c>
      <c r="CH130">
        <v>2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1</v>
      </c>
      <c r="CP130">
        <v>4</v>
      </c>
      <c r="CQ130">
        <v>1</v>
      </c>
      <c r="CR130">
        <v>0</v>
      </c>
      <c r="CS130">
        <v>2</v>
      </c>
      <c r="CT130">
        <v>0</v>
      </c>
      <c r="CU130">
        <v>0</v>
      </c>
      <c r="CV130">
        <v>0</v>
      </c>
      <c r="CW130">
        <v>1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2</v>
      </c>
      <c r="DD130">
        <v>0</v>
      </c>
      <c r="DE130">
        <v>0</v>
      </c>
      <c r="DF130">
        <v>0</v>
      </c>
      <c r="DG130">
        <v>1</v>
      </c>
      <c r="DH130">
        <v>0</v>
      </c>
      <c r="DI130">
        <v>0</v>
      </c>
      <c r="DJ130">
        <v>1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1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-1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1</v>
      </c>
    </row>
    <row r="131" spans="1:170" x14ac:dyDescent="0.25">
      <c r="A131" t="s">
        <v>174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-1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-1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</row>
    <row r="132" spans="1:170" x14ac:dyDescent="0.25">
      <c r="A132" t="s">
        <v>291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-3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1</v>
      </c>
      <c r="EK132">
        <v>0</v>
      </c>
      <c r="EL132">
        <v>0</v>
      </c>
      <c r="EM132">
        <v>-1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1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</row>
    <row r="133" spans="1:170" x14ac:dyDescent="0.25">
      <c r="A133" t="s">
        <v>292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-4.4000000000000004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1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</row>
    <row r="134" spans="1:170" x14ac:dyDescent="0.25">
      <c r="A134" t="s">
        <v>293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-1</v>
      </c>
      <c r="CE134">
        <v>1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</row>
    <row r="135" spans="1:170" x14ac:dyDescent="0.25">
      <c r="A135" t="s">
        <v>294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-1.4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-1</v>
      </c>
      <c r="CD135">
        <v>1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</row>
    <row r="136" spans="1:170" x14ac:dyDescent="0.25">
      <c r="A136" t="s">
        <v>295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1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1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1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-1</v>
      </c>
      <c r="CG136">
        <v>0</v>
      </c>
      <c r="CH136">
        <v>1</v>
      </c>
      <c r="CI136">
        <v>0</v>
      </c>
      <c r="CJ136">
        <v>0</v>
      </c>
      <c r="CK136">
        <v>0</v>
      </c>
      <c r="CL136">
        <v>0</v>
      </c>
      <c r="CM136">
        <v>1</v>
      </c>
      <c r="CN136">
        <v>0</v>
      </c>
      <c r="CO136">
        <v>0</v>
      </c>
      <c r="CP136">
        <v>0</v>
      </c>
      <c r="CQ136">
        <v>1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1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</row>
    <row r="137" spans="1:170" x14ac:dyDescent="0.25">
      <c r="A137" t="s">
        <v>296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-0.4224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1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</row>
    <row r="138" spans="1:170" x14ac:dyDescent="0.25">
      <c r="A138" t="s">
        <v>297</v>
      </c>
      <c r="B138">
        <v>0</v>
      </c>
      <c r="C138" s="12">
        <f>-Cmol!AJ9</f>
        <v>-0.61912820143726</v>
      </c>
      <c r="D138" s="12">
        <f>-Cmol!AK9</f>
        <v>-0.54907223581313436</v>
      </c>
      <c r="E138" s="12">
        <f>-Cmol!AL9</f>
        <v>-0.44554083654625098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4.8099999999999996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</row>
    <row r="139" spans="1:170" x14ac:dyDescent="0.25">
      <c r="A139" t="s">
        <v>298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-1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-1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1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-1</v>
      </c>
      <c r="DD139">
        <v>0</v>
      </c>
      <c r="DE139">
        <v>0</v>
      </c>
      <c r="DF139">
        <v>0</v>
      </c>
      <c r="DG139">
        <v>-1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</row>
    <row r="140" spans="1:170" x14ac:dyDescent="0.25">
      <c r="A140" t="s">
        <v>299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-1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1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1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-1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</row>
    <row r="141" spans="1:170" x14ac:dyDescent="0.25">
      <c r="A141" t="s">
        <v>300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-1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-2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1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</row>
    <row r="142" spans="1:170" x14ac:dyDescent="0.25">
      <c r="A142" t="s">
        <v>301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1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-1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</row>
    <row r="143" spans="1:170" x14ac:dyDescent="0.25">
      <c r="A143" t="s">
        <v>302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1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-1</v>
      </c>
      <c r="CJ143">
        <v>0</v>
      </c>
      <c r="CK143">
        <v>-1</v>
      </c>
      <c r="CL143">
        <v>-1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</row>
    <row r="144" spans="1:170" x14ac:dyDescent="0.25">
      <c r="A144" t="s">
        <v>303</v>
      </c>
      <c r="B144">
        <v>0</v>
      </c>
      <c r="C144" s="17">
        <f>-Cmol!AJ10</f>
        <v>-7.4284740354137332E-2</v>
      </c>
      <c r="D144" s="17">
        <f>-Cmol!AK10</f>
        <v>-6.7009309077125684E-2</v>
      </c>
      <c r="E144" s="17">
        <f>-Cmol!AL10</f>
        <v>-4.810112935055396E-2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9.5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</row>
    <row r="145" spans="1:170" x14ac:dyDescent="0.25">
      <c r="A145" t="s">
        <v>304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3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-1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</row>
    <row r="146" spans="1:170" x14ac:dyDescent="0.25">
      <c r="A146" t="s">
        <v>305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1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-3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</row>
    <row r="147" spans="1:170" x14ac:dyDescent="0.25">
      <c r="A147" t="s">
        <v>306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-1</v>
      </c>
      <c r="CV147">
        <v>0</v>
      </c>
      <c r="CW147">
        <v>0</v>
      </c>
      <c r="CX147">
        <v>1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</row>
    <row r="148" spans="1:170" x14ac:dyDescent="0.25">
      <c r="A148" t="s">
        <v>307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-0.53280000000000005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-1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-1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-1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1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-1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</row>
    <row r="149" spans="1:170" x14ac:dyDescent="0.25">
      <c r="A149" t="s">
        <v>308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-1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1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</row>
    <row r="150" spans="1:170" x14ac:dyDescent="0.25">
      <c r="A150" t="s">
        <v>175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-1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-1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</row>
    <row r="151" spans="1:170" x14ac:dyDescent="0.25">
      <c r="A151" t="s">
        <v>309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-1</v>
      </c>
      <c r="CT151">
        <v>1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</row>
    <row r="152" spans="1:170" x14ac:dyDescent="0.25">
      <c r="A152" t="s">
        <v>310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-1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-1</v>
      </c>
      <c r="CS152">
        <v>1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</row>
    <row r="153" spans="1:170" x14ac:dyDescent="0.25">
      <c r="A153" t="s">
        <v>341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1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-1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</row>
    <row r="154" spans="1:170" x14ac:dyDescent="0.25">
      <c r="A154" t="s">
        <v>311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-1</v>
      </c>
      <c r="EM154">
        <v>1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1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</row>
    <row r="155" spans="1:170" x14ac:dyDescent="0.25">
      <c r="A155" t="s">
        <v>312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1</v>
      </c>
      <c r="EI155">
        <v>0</v>
      </c>
      <c r="EJ155">
        <v>0</v>
      </c>
      <c r="EK155">
        <v>0</v>
      </c>
      <c r="EL155">
        <v>0</v>
      </c>
      <c r="EM155">
        <v>-1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</row>
    <row r="156" spans="1:170" x14ac:dyDescent="0.25">
      <c r="A156" t="s">
        <v>313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-1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1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</row>
    <row r="157" spans="1:170" x14ac:dyDescent="0.25">
      <c r="A157" t="s">
        <v>314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-0.55659999999999998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-1</v>
      </c>
      <c r="CW157">
        <v>1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-1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</row>
    <row r="158" spans="1:170" x14ac:dyDescent="0.25">
      <c r="A158" t="s">
        <v>315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-1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1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</row>
    <row r="159" spans="1:170" x14ac:dyDescent="0.25">
      <c r="A159" t="s">
        <v>316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-6.4920000000000005E-2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1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</row>
    <row r="160" spans="1:170" x14ac:dyDescent="0.25">
      <c r="A160" t="s">
        <v>317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-0.19600000000000001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1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</row>
    <row r="161" spans="1:170" x14ac:dyDescent="0.25">
      <c r="A161" t="s">
        <v>318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-1</v>
      </c>
      <c r="DF161">
        <v>1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</row>
    <row r="162" spans="1:170" x14ac:dyDescent="0.25">
      <c r="A162" t="s">
        <v>319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-1</v>
      </c>
      <c r="DG162">
        <v>1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</row>
    <row r="163" spans="1:170" x14ac:dyDescent="0.25">
      <c r="A163" t="s">
        <v>320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-1</v>
      </c>
      <c r="AG163">
        <v>0</v>
      </c>
      <c r="AH163">
        <v>0</v>
      </c>
      <c r="AI163">
        <v>-0.3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-0.3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1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</row>
    <row r="164" spans="1:170" x14ac:dyDescent="0.25">
      <c r="A164" t="s">
        <v>321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-0.73260000000000003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1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-1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</row>
    <row r="165" spans="1:170" x14ac:dyDescent="0.25">
      <c r="A165" t="s">
        <v>322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1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1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</row>
    <row r="166" spans="1:170" x14ac:dyDescent="0.25">
      <c r="A166" t="s">
        <v>323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1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-1</v>
      </c>
      <c r="CY166">
        <v>-1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57DDB-D016-4632-B967-12CB7BD9E2BC}">
  <sheetPr>
    <tabColor rgb="FFFFCCFF"/>
  </sheetPr>
  <dimension ref="A1:AU182"/>
  <sheetViews>
    <sheetView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15" x14ac:dyDescent="0.25"/>
  <cols>
    <col min="1" max="1" width="31.7109375" bestFit="1" customWidth="1"/>
    <col min="2" max="2" width="5.5703125" bestFit="1" customWidth="1"/>
    <col min="3" max="3" width="7.42578125" bestFit="1" customWidth="1"/>
    <col min="4" max="4" width="19.42578125" bestFit="1" customWidth="1"/>
    <col min="7" max="7" width="19.42578125" bestFit="1" customWidth="1"/>
    <col min="10" max="10" width="19.42578125" bestFit="1" customWidth="1"/>
    <col min="13" max="13" width="19.42578125" bestFit="1" customWidth="1"/>
    <col min="16" max="16" width="19.42578125" bestFit="1" customWidth="1"/>
    <col min="19" max="19" width="19.42578125" bestFit="1" customWidth="1"/>
    <col min="22" max="22" width="19.42578125" bestFit="1" customWidth="1"/>
    <col min="25" max="25" width="19.42578125" bestFit="1" customWidth="1"/>
    <col min="28" max="28" width="20" bestFit="1" customWidth="1"/>
    <col min="31" max="31" width="20.85546875" bestFit="1" customWidth="1"/>
    <col min="34" max="34" width="20.85546875" bestFit="1" customWidth="1"/>
    <col min="37" max="37" width="21.85546875" bestFit="1" customWidth="1"/>
    <col min="40" max="40" width="19.42578125" bestFit="1" customWidth="1"/>
    <col min="43" max="43" width="19.42578125" bestFit="1" customWidth="1"/>
    <col min="46" max="46" width="19.42578125" bestFit="1" customWidth="1"/>
  </cols>
  <sheetData>
    <row r="1" spans="1:47" x14ac:dyDescent="0.25">
      <c r="A1" t="s">
        <v>443</v>
      </c>
      <c r="D1" t="s">
        <v>389</v>
      </c>
      <c r="G1" t="s">
        <v>390</v>
      </c>
      <c r="J1" t="s">
        <v>391</v>
      </c>
      <c r="M1" t="s">
        <v>392</v>
      </c>
      <c r="P1" t="s">
        <v>397</v>
      </c>
      <c r="S1" t="s">
        <v>399</v>
      </c>
      <c r="V1" t="s">
        <v>401</v>
      </c>
      <c r="Y1" t="s">
        <v>403</v>
      </c>
      <c r="AB1" t="s">
        <v>405</v>
      </c>
      <c r="AE1" t="s">
        <v>407</v>
      </c>
      <c r="AH1" t="s">
        <v>409</v>
      </c>
      <c r="AK1" t="s">
        <v>411</v>
      </c>
      <c r="AN1" t="s">
        <v>413</v>
      </c>
      <c r="AQ1" t="s">
        <v>414</v>
      </c>
    </row>
    <row r="2" spans="1:47" x14ac:dyDescent="0.25">
      <c r="D2" t="s">
        <v>393</v>
      </c>
      <c r="G2" t="s">
        <v>394</v>
      </c>
      <c r="J2" t="s">
        <v>395</v>
      </c>
      <c r="M2" t="s">
        <v>396</v>
      </c>
      <c r="P2" t="s">
        <v>398</v>
      </c>
      <c r="S2" t="s">
        <v>400</v>
      </c>
      <c r="V2" t="s">
        <v>402</v>
      </c>
      <c r="Y2" t="s">
        <v>404</v>
      </c>
      <c r="AB2" t="s">
        <v>406</v>
      </c>
      <c r="AE2" t="s">
        <v>408</v>
      </c>
      <c r="AH2" t="s">
        <v>410</v>
      </c>
      <c r="AK2" t="s">
        <v>412</v>
      </c>
      <c r="AN2" t="s">
        <v>440</v>
      </c>
      <c r="AQ2" t="s">
        <v>437</v>
      </c>
    </row>
    <row r="3" spans="1:47" x14ac:dyDescent="0.25">
      <c r="D3" s="18" t="s">
        <v>378</v>
      </c>
      <c r="E3" s="18" t="s">
        <v>379</v>
      </c>
      <c r="G3" s="18" t="s">
        <v>378</v>
      </c>
      <c r="H3" s="18" t="s">
        <v>379</v>
      </c>
      <c r="J3" s="18" t="s">
        <v>378</v>
      </c>
      <c r="K3" s="18" t="s">
        <v>379</v>
      </c>
      <c r="M3" s="18" t="s">
        <v>378</v>
      </c>
      <c r="N3" s="18" t="s">
        <v>379</v>
      </c>
      <c r="P3" s="18" t="s">
        <v>378</v>
      </c>
      <c r="Q3" s="18" t="s">
        <v>379</v>
      </c>
      <c r="S3" s="18" t="s">
        <v>378</v>
      </c>
      <c r="T3" s="18" t="s">
        <v>379</v>
      </c>
      <c r="V3" s="18" t="s">
        <v>378</v>
      </c>
      <c r="W3" s="18" t="s">
        <v>379</v>
      </c>
      <c r="Y3" s="18" t="s">
        <v>378</v>
      </c>
      <c r="Z3" s="18" t="s">
        <v>379</v>
      </c>
      <c r="AB3" s="18" t="s">
        <v>378</v>
      </c>
      <c r="AC3" s="18" t="s">
        <v>379</v>
      </c>
      <c r="AE3" s="18" t="s">
        <v>378</v>
      </c>
      <c r="AF3" s="18" t="s">
        <v>379</v>
      </c>
      <c r="AH3" s="18" t="s">
        <v>378</v>
      </c>
      <c r="AI3" s="18" t="s">
        <v>379</v>
      </c>
      <c r="AK3" s="18" t="s">
        <v>378</v>
      </c>
      <c r="AL3" s="18" t="s">
        <v>379</v>
      </c>
      <c r="AN3" s="18" t="s">
        <v>378</v>
      </c>
      <c r="AO3" s="18" t="s">
        <v>379</v>
      </c>
      <c r="AQ3" s="18" t="s">
        <v>378</v>
      </c>
      <c r="AR3" s="18" t="s">
        <v>379</v>
      </c>
      <c r="AT3" s="18"/>
      <c r="AU3" s="18"/>
    </row>
    <row r="4" spans="1:47" x14ac:dyDescent="0.25">
      <c r="D4" t="s">
        <v>39</v>
      </c>
      <c r="E4">
        <v>469.35</v>
      </c>
      <c r="G4" t="s">
        <v>39</v>
      </c>
      <c r="H4">
        <v>469.35</v>
      </c>
      <c r="J4" t="s">
        <v>39</v>
      </c>
      <c r="K4">
        <v>469.35</v>
      </c>
      <c r="M4" t="s">
        <v>39</v>
      </c>
      <c r="N4">
        <v>469.35</v>
      </c>
      <c r="P4" t="s">
        <v>39</v>
      </c>
      <c r="Q4">
        <v>480.38</v>
      </c>
      <c r="S4" t="s">
        <v>39</v>
      </c>
      <c r="T4">
        <v>466.71</v>
      </c>
      <c r="V4" t="s">
        <v>39</v>
      </c>
      <c r="W4">
        <v>472.22</v>
      </c>
      <c r="Y4" t="s">
        <v>39</v>
      </c>
      <c r="Z4">
        <v>461.07</v>
      </c>
      <c r="AB4" t="s">
        <v>39</v>
      </c>
      <c r="AC4">
        <v>481.66</v>
      </c>
      <c r="AE4" t="s">
        <v>39</v>
      </c>
      <c r="AF4">
        <v>467.71</v>
      </c>
      <c r="AH4" t="s">
        <v>39</v>
      </c>
      <c r="AI4">
        <v>472.82</v>
      </c>
      <c r="AK4" t="s">
        <v>39</v>
      </c>
      <c r="AL4">
        <v>462.1</v>
      </c>
      <c r="AN4" t="s">
        <v>39</v>
      </c>
      <c r="AO4">
        <v>508.28</v>
      </c>
      <c r="AQ4" t="s">
        <v>39</v>
      </c>
      <c r="AR4">
        <v>508.94</v>
      </c>
    </row>
    <row r="5" spans="1:47" x14ac:dyDescent="0.25">
      <c r="D5" t="s">
        <v>359</v>
      </c>
      <c r="E5">
        <v>0</v>
      </c>
      <c r="G5" t="s">
        <v>359</v>
      </c>
      <c r="H5">
        <v>0</v>
      </c>
      <c r="J5" t="s">
        <v>359</v>
      </c>
      <c r="K5">
        <v>0</v>
      </c>
      <c r="M5" t="s">
        <v>359</v>
      </c>
      <c r="N5">
        <v>0</v>
      </c>
      <c r="P5" t="s">
        <v>359</v>
      </c>
      <c r="Q5">
        <v>100</v>
      </c>
      <c r="S5" t="s">
        <v>359</v>
      </c>
      <c r="T5">
        <v>100</v>
      </c>
      <c r="V5" t="s">
        <v>359</v>
      </c>
      <c r="W5">
        <v>100</v>
      </c>
      <c r="Y5" t="s">
        <v>359</v>
      </c>
      <c r="Z5">
        <v>100</v>
      </c>
      <c r="AB5" t="s">
        <v>359</v>
      </c>
      <c r="AC5">
        <v>0</v>
      </c>
      <c r="AE5" t="s">
        <v>359</v>
      </c>
      <c r="AF5">
        <v>0</v>
      </c>
      <c r="AH5" t="s">
        <v>359</v>
      </c>
      <c r="AI5">
        <v>0</v>
      </c>
      <c r="AK5" t="s">
        <v>359</v>
      </c>
      <c r="AL5">
        <v>0</v>
      </c>
      <c r="AN5" t="s">
        <v>359</v>
      </c>
      <c r="AO5">
        <v>0</v>
      </c>
      <c r="AQ5" t="s">
        <v>359</v>
      </c>
      <c r="AR5">
        <v>0</v>
      </c>
    </row>
    <row r="6" spans="1:47" x14ac:dyDescent="0.25">
      <c r="D6" t="s">
        <v>386</v>
      </c>
      <c r="E6">
        <v>0</v>
      </c>
      <c r="G6" t="s">
        <v>386</v>
      </c>
      <c r="H6">
        <v>0</v>
      </c>
      <c r="J6" t="s">
        <v>386</v>
      </c>
      <c r="K6">
        <v>0</v>
      </c>
      <c r="M6" t="s">
        <v>386</v>
      </c>
      <c r="N6">
        <v>0</v>
      </c>
      <c r="P6" t="s">
        <v>386</v>
      </c>
      <c r="Q6">
        <v>0</v>
      </c>
      <c r="S6" t="s">
        <v>386</v>
      </c>
      <c r="T6">
        <v>0</v>
      </c>
      <c r="V6" t="s">
        <v>386</v>
      </c>
      <c r="W6">
        <v>0</v>
      </c>
      <c r="Y6" t="s">
        <v>386</v>
      </c>
      <c r="Z6">
        <v>0</v>
      </c>
      <c r="AB6" t="s">
        <v>386</v>
      </c>
      <c r="AC6">
        <v>100</v>
      </c>
      <c r="AE6" t="s">
        <v>386</v>
      </c>
      <c r="AF6">
        <v>100</v>
      </c>
      <c r="AH6" t="s">
        <v>386</v>
      </c>
      <c r="AI6">
        <v>100</v>
      </c>
      <c r="AK6" t="s">
        <v>386</v>
      </c>
      <c r="AL6">
        <v>100</v>
      </c>
      <c r="AN6" t="s">
        <v>386</v>
      </c>
      <c r="AO6">
        <v>100</v>
      </c>
      <c r="AQ6" t="s">
        <v>386</v>
      </c>
      <c r="AR6">
        <v>100</v>
      </c>
    </row>
    <row r="7" spans="1:47" x14ac:dyDescent="0.25">
      <c r="D7" t="s">
        <v>358</v>
      </c>
      <c r="E7">
        <v>100</v>
      </c>
      <c r="G7" t="s">
        <v>358</v>
      </c>
      <c r="H7">
        <v>100</v>
      </c>
      <c r="J7" t="s">
        <v>358</v>
      </c>
      <c r="K7">
        <v>100</v>
      </c>
      <c r="M7" t="s">
        <v>358</v>
      </c>
      <c r="N7">
        <v>100</v>
      </c>
      <c r="P7" t="s">
        <v>358</v>
      </c>
      <c r="Q7">
        <v>0</v>
      </c>
      <c r="S7" t="s">
        <v>358</v>
      </c>
      <c r="T7">
        <v>0</v>
      </c>
      <c r="V7" t="s">
        <v>358</v>
      </c>
      <c r="W7">
        <v>0</v>
      </c>
      <c r="Y7" t="s">
        <v>358</v>
      </c>
      <c r="Z7">
        <v>0</v>
      </c>
      <c r="AB7" t="s">
        <v>358</v>
      </c>
      <c r="AC7">
        <v>0</v>
      </c>
      <c r="AE7" t="s">
        <v>358</v>
      </c>
      <c r="AF7">
        <v>0</v>
      </c>
      <c r="AH7" t="s">
        <v>358</v>
      </c>
      <c r="AI7">
        <v>0</v>
      </c>
      <c r="AK7" t="s">
        <v>358</v>
      </c>
      <c r="AL7">
        <v>0</v>
      </c>
      <c r="AN7" t="s">
        <v>358</v>
      </c>
      <c r="AO7">
        <v>0</v>
      </c>
      <c r="AQ7" t="s">
        <v>358</v>
      </c>
      <c r="AR7">
        <v>0</v>
      </c>
    </row>
    <row r="8" spans="1:47" x14ac:dyDescent="0.25">
      <c r="D8" t="s">
        <v>40</v>
      </c>
      <c r="E8">
        <v>-10.89</v>
      </c>
      <c r="G8" t="s">
        <v>40</v>
      </c>
      <c r="H8">
        <v>-10.89</v>
      </c>
      <c r="J8" t="s">
        <v>40</v>
      </c>
      <c r="K8">
        <v>-10.89</v>
      </c>
      <c r="M8" t="s">
        <v>40</v>
      </c>
      <c r="N8">
        <v>-10.89</v>
      </c>
      <c r="P8" t="s">
        <v>40</v>
      </c>
      <c r="Q8">
        <v>-9.67</v>
      </c>
      <c r="S8" t="s">
        <v>40</v>
      </c>
      <c r="T8">
        <v>-9.67</v>
      </c>
      <c r="V8" t="s">
        <v>40</v>
      </c>
      <c r="W8">
        <v>-9.67</v>
      </c>
      <c r="Y8" t="s">
        <v>40</v>
      </c>
      <c r="Z8">
        <v>-9.67</v>
      </c>
      <c r="AB8" t="s">
        <v>40</v>
      </c>
      <c r="AC8">
        <v>-13.1</v>
      </c>
      <c r="AE8" t="s">
        <v>40</v>
      </c>
      <c r="AF8">
        <v>-13.1</v>
      </c>
      <c r="AH8" t="s">
        <v>40</v>
      </c>
      <c r="AI8">
        <v>-13.1</v>
      </c>
      <c r="AK8" t="s">
        <v>40</v>
      </c>
      <c r="AL8">
        <v>-13.1</v>
      </c>
      <c r="AN8" t="s">
        <v>40</v>
      </c>
      <c r="AO8">
        <v>-13.1</v>
      </c>
      <c r="AQ8" t="s">
        <v>40</v>
      </c>
      <c r="AR8">
        <v>-13.1</v>
      </c>
    </row>
    <row r="9" spans="1:47" x14ac:dyDescent="0.25">
      <c r="D9" t="s">
        <v>41</v>
      </c>
      <c r="E9">
        <v>-12.65</v>
      </c>
      <c r="G9" t="s">
        <v>41</v>
      </c>
      <c r="H9">
        <v>-12.65</v>
      </c>
      <c r="J9" t="s">
        <v>41</v>
      </c>
      <c r="K9">
        <v>-12.65</v>
      </c>
      <c r="M9" t="s">
        <v>41</v>
      </c>
      <c r="N9">
        <v>-12.65</v>
      </c>
      <c r="P9" t="s">
        <v>41</v>
      </c>
      <c r="Q9">
        <v>-11.95</v>
      </c>
      <c r="S9" t="s">
        <v>41</v>
      </c>
      <c r="T9">
        <v>-11.95</v>
      </c>
      <c r="V9" t="s">
        <v>41</v>
      </c>
      <c r="W9">
        <v>-11.95</v>
      </c>
      <c r="Y9" t="s">
        <v>41</v>
      </c>
      <c r="Z9">
        <v>-11.95</v>
      </c>
      <c r="AB9" t="s">
        <v>41</v>
      </c>
      <c r="AC9">
        <v>-15.19</v>
      </c>
      <c r="AE9" t="s">
        <v>41</v>
      </c>
      <c r="AF9">
        <v>-15.19</v>
      </c>
      <c r="AH9" t="s">
        <v>41</v>
      </c>
      <c r="AI9">
        <v>-15.19</v>
      </c>
      <c r="AK9" t="s">
        <v>41</v>
      </c>
      <c r="AL9">
        <v>-15.19</v>
      </c>
      <c r="AN9" t="s">
        <v>41</v>
      </c>
      <c r="AO9">
        <v>-15.19</v>
      </c>
      <c r="AQ9" t="s">
        <v>41</v>
      </c>
      <c r="AR9">
        <v>-15.19</v>
      </c>
    </row>
    <row r="10" spans="1:47" x14ac:dyDescent="0.25">
      <c r="D10" t="s">
        <v>42</v>
      </c>
      <c r="E10">
        <v>0.23</v>
      </c>
      <c r="G10" t="s">
        <v>42</v>
      </c>
      <c r="H10">
        <v>0.23</v>
      </c>
      <c r="J10" t="s">
        <v>42</v>
      </c>
      <c r="K10">
        <v>0.23</v>
      </c>
      <c r="M10" t="s">
        <v>42</v>
      </c>
      <c r="N10">
        <v>0.23</v>
      </c>
      <c r="P10" t="s">
        <v>42</v>
      </c>
      <c r="Q10">
        <v>0.17</v>
      </c>
      <c r="S10" t="s">
        <v>42</v>
      </c>
      <c r="T10">
        <v>0.17</v>
      </c>
      <c r="V10" t="s">
        <v>42</v>
      </c>
      <c r="W10">
        <v>0.17</v>
      </c>
      <c r="Y10" t="s">
        <v>42</v>
      </c>
      <c r="Z10">
        <v>0.17</v>
      </c>
      <c r="AB10" t="s">
        <v>42</v>
      </c>
      <c r="AC10">
        <v>0.18</v>
      </c>
      <c r="AE10" t="s">
        <v>42</v>
      </c>
      <c r="AF10">
        <v>0.18</v>
      </c>
      <c r="AH10" t="s">
        <v>42</v>
      </c>
      <c r="AI10">
        <v>0.18</v>
      </c>
      <c r="AK10" t="s">
        <v>42</v>
      </c>
      <c r="AL10">
        <v>0.18</v>
      </c>
      <c r="AN10" t="s">
        <v>42</v>
      </c>
      <c r="AO10">
        <v>0.18</v>
      </c>
      <c r="AQ10" t="s">
        <v>42</v>
      </c>
      <c r="AR10">
        <v>0.18</v>
      </c>
    </row>
    <row r="11" spans="1:47" x14ac:dyDescent="0.25">
      <c r="D11" t="s">
        <v>43</v>
      </c>
      <c r="E11">
        <v>5.14</v>
      </c>
      <c r="G11" t="s">
        <v>43</v>
      </c>
      <c r="H11">
        <v>5.14</v>
      </c>
      <c r="J11" t="s">
        <v>43</v>
      </c>
      <c r="K11">
        <v>5.14</v>
      </c>
      <c r="M11" t="s">
        <v>43</v>
      </c>
      <c r="N11">
        <v>5.14</v>
      </c>
      <c r="P11" t="s">
        <v>43</v>
      </c>
      <c r="Q11">
        <v>3.87</v>
      </c>
      <c r="S11" t="s">
        <v>43</v>
      </c>
      <c r="T11">
        <v>3.87</v>
      </c>
      <c r="V11" t="s">
        <v>43</v>
      </c>
      <c r="W11">
        <v>3.87</v>
      </c>
      <c r="Y11" t="s">
        <v>43</v>
      </c>
      <c r="Z11">
        <v>3.87</v>
      </c>
      <c r="AB11" t="s">
        <v>43</v>
      </c>
      <c r="AC11">
        <v>4.05</v>
      </c>
      <c r="AE11" t="s">
        <v>43</v>
      </c>
      <c r="AF11">
        <v>4.05</v>
      </c>
      <c r="AH11" t="s">
        <v>43</v>
      </c>
      <c r="AI11">
        <v>4.05</v>
      </c>
      <c r="AK11" t="s">
        <v>43</v>
      </c>
      <c r="AL11">
        <v>4.05</v>
      </c>
      <c r="AN11" t="s">
        <v>43</v>
      </c>
      <c r="AO11">
        <v>4.05</v>
      </c>
      <c r="AQ11" t="s">
        <v>43</v>
      </c>
      <c r="AR11">
        <v>4.05</v>
      </c>
    </row>
    <row r="12" spans="1:47" x14ac:dyDescent="0.25">
      <c r="D12" t="s">
        <v>44</v>
      </c>
      <c r="E12">
        <v>85.82</v>
      </c>
      <c r="G12" t="s">
        <v>44</v>
      </c>
      <c r="H12">
        <v>85.82</v>
      </c>
      <c r="J12" t="s">
        <v>44</v>
      </c>
      <c r="K12">
        <v>85.82</v>
      </c>
      <c r="M12" t="s">
        <v>44</v>
      </c>
      <c r="N12">
        <v>85.82</v>
      </c>
      <c r="P12" t="s">
        <v>44</v>
      </c>
      <c r="Q12">
        <v>80.08</v>
      </c>
      <c r="S12" t="s">
        <v>44</v>
      </c>
      <c r="T12">
        <v>73.25</v>
      </c>
      <c r="V12" t="s">
        <v>44</v>
      </c>
      <c r="W12">
        <v>76</v>
      </c>
      <c r="Y12" t="s">
        <v>44</v>
      </c>
      <c r="Z12">
        <v>70.430000000000007</v>
      </c>
      <c r="AB12" t="s">
        <v>44</v>
      </c>
      <c r="AC12">
        <v>81.599999999999994</v>
      </c>
      <c r="AE12" t="s">
        <v>44</v>
      </c>
      <c r="AF12">
        <v>74.63</v>
      </c>
      <c r="AH12" t="s">
        <v>44</v>
      </c>
      <c r="AI12">
        <v>77.180000000000007</v>
      </c>
      <c r="AK12" t="s">
        <v>44</v>
      </c>
      <c r="AL12">
        <v>71.819999999999993</v>
      </c>
      <c r="AN12" t="s">
        <v>44</v>
      </c>
      <c r="AO12">
        <v>94.91</v>
      </c>
      <c r="AQ12" t="s">
        <v>44</v>
      </c>
      <c r="AR12">
        <v>95.24</v>
      </c>
    </row>
    <row r="13" spans="1:47" x14ac:dyDescent="0.25">
      <c r="D13" t="s">
        <v>45</v>
      </c>
      <c r="E13">
        <v>57.56</v>
      </c>
      <c r="G13" t="s">
        <v>45</v>
      </c>
      <c r="H13">
        <v>57.56</v>
      </c>
      <c r="J13" t="s">
        <v>45</v>
      </c>
      <c r="K13">
        <v>0</v>
      </c>
      <c r="M13" t="s">
        <v>45</v>
      </c>
      <c r="N13">
        <v>0</v>
      </c>
      <c r="P13" t="s">
        <v>45</v>
      </c>
      <c r="Q13">
        <v>47.63</v>
      </c>
      <c r="S13" t="s">
        <v>45</v>
      </c>
      <c r="T13">
        <v>40.79</v>
      </c>
      <c r="V13" t="s">
        <v>45</v>
      </c>
      <c r="W13">
        <v>0</v>
      </c>
      <c r="Y13" t="s">
        <v>45</v>
      </c>
      <c r="Z13">
        <v>0</v>
      </c>
      <c r="AB13" t="s">
        <v>45</v>
      </c>
      <c r="AC13">
        <v>51.53</v>
      </c>
      <c r="AE13" t="s">
        <v>45</v>
      </c>
      <c r="AF13">
        <v>44.56</v>
      </c>
      <c r="AH13" t="s">
        <v>45</v>
      </c>
      <c r="AI13">
        <v>0</v>
      </c>
      <c r="AK13" t="s">
        <v>45</v>
      </c>
      <c r="AL13">
        <v>0</v>
      </c>
      <c r="AN13" t="s">
        <v>45</v>
      </c>
      <c r="AO13">
        <v>64.84</v>
      </c>
      <c r="AQ13" t="s">
        <v>45</v>
      </c>
      <c r="AR13">
        <v>65.17</v>
      </c>
    </row>
    <row r="14" spans="1:47" x14ac:dyDescent="0.25">
      <c r="D14" t="s">
        <v>324</v>
      </c>
      <c r="E14">
        <v>28.15</v>
      </c>
      <c r="G14" t="s">
        <v>324</v>
      </c>
      <c r="H14">
        <v>28.15</v>
      </c>
      <c r="J14" t="s">
        <v>324</v>
      </c>
      <c r="K14">
        <v>28.15</v>
      </c>
      <c r="M14" t="s">
        <v>324</v>
      </c>
      <c r="N14">
        <v>28.15</v>
      </c>
      <c r="P14" t="s">
        <v>324</v>
      </c>
      <c r="Q14">
        <v>32.29</v>
      </c>
      <c r="S14" t="s">
        <v>324</v>
      </c>
      <c r="T14">
        <v>32.29</v>
      </c>
      <c r="V14" t="s">
        <v>324</v>
      </c>
      <c r="W14">
        <v>32.29</v>
      </c>
      <c r="Y14" t="s">
        <v>324</v>
      </c>
      <c r="Z14">
        <v>32.29</v>
      </c>
      <c r="AB14" t="s">
        <v>324</v>
      </c>
      <c r="AC14">
        <v>29.92</v>
      </c>
      <c r="AE14" t="s">
        <v>324</v>
      </c>
      <c r="AF14">
        <v>29.92</v>
      </c>
      <c r="AH14" t="s">
        <v>324</v>
      </c>
      <c r="AI14">
        <v>29.92</v>
      </c>
      <c r="AK14" t="s">
        <v>324</v>
      </c>
      <c r="AL14">
        <v>29.92</v>
      </c>
      <c r="AN14" t="s">
        <v>324</v>
      </c>
      <c r="AO14">
        <v>29.92</v>
      </c>
      <c r="AQ14" t="s">
        <v>324</v>
      </c>
      <c r="AR14">
        <v>29.92</v>
      </c>
    </row>
    <row r="15" spans="1:47" x14ac:dyDescent="0.25">
      <c r="D15" t="s">
        <v>371</v>
      </c>
      <c r="E15">
        <v>0</v>
      </c>
      <c r="G15" t="s">
        <v>371</v>
      </c>
      <c r="H15">
        <v>0</v>
      </c>
      <c r="J15" t="s">
        <v>371</v>
      </c>
      <c r="K15">
        <v>-57.56</v>
      </c>
      <c r="M15" t="s">
        <v>371</v>
      </c>
      <c r="N15">
        <v>-57.56</v>
      </c>
      <c r="P15" t="s">
        <v>371</v>
      </c>
      <c r="Q15">
        <v>0</v>
      </c>
      <c r="S15" t="s">
        <v>371</v>
      </c>
      <c r="T15">
        <v>0</v>
      </c>
      <c r="V15" t="s">
        <v>371</v>
      </c>
      <c r="W15">
        <v>-43.55</v>
      </c>
      <c r="Y15" t="s">
        <v>371</v>
      </c>
      <c r="Z15">
        <v>-37.97</v>
      </c>
      <c r="AB15" t="s">
        <v>371</v>
      </c>
      <c r="AC15">
        <v>0</v>
      </c>
      <c r="AE15" t="s">
        <v>371</v>
      </c>
      <c r="AF15">
        <v>0</v>
      </c>
      <c r="AH15" t="s">
        <v>371</v>
      </c>
      <c r="AI15">
        <v>-47.11</v>
      </c>
      <c r="AK15" t="s">
        <v>371</v>
      </c>
      <c r="AL15">
        <v>-41.75</v>
      </c>
      <c r="AN15" t="s">
        <v>371</v>
      </c>
      <c r="AO15">
        <v>0</v>
      </c>
      <c r="AQ15" t="s">
        <v>371</v>
      </c>
      <c r="AR15">
        <v>0</v>
      </c>
    </row>
    <row r="16" spans="1:47" x14ac:dyDescent="0.25">
      <c r="D16" t="s">
        <v>370</v>
      </c>
      <c r="E16">
        <v>0</v>
      </c>
      <c r="G16" t="s">
        <v>370</v>
      </c>
      <c r="H16">
        <v>-85.67</v>
      </c>
      <c r="J16" t="s">
        <v>370</v>
      </c>
      <c r="K16">
        <v>57.56</v>
      </c>
      <c r="M16" t="s">
        <v>370</v>
      </c>
      <c r="N16">
        <v>-28.12</v>
      </c>
      <c r="P16" t="s">
        <v>370</v>
      </c>
      <c r="Q16">
        <v>0</v>
      </c>
      <c r="S16" t="s">
        <v>370</v>
      </c>
      <c r="T16">
        <v>-72.92</v>
      </c>
      <c r="V16" t="s">
        <v>370</v>
      </c>
      <c r="W16">
        <v>43.55</v>
      </c>
      <c r="Y16" t="s">
        <v>370</v>
      </c>
      <c r="Z16">
        <v>-32.130000000000003</v>
      </c>
      <c r="AB16" t="s">
        <v>370</v>
      </c>
      <c r="AC16">
        <v>0</v>
      </c>
      <c r="AE16" t="s">
        <v>370</v>
      </c>
      <c r="AF16">
        <v>-74.38</v>
      </c>
      <c r="AH16" t="s">
        <v>370</v>
      </c>
      <c r="AI16">
        <v>47.11</v>
      </c>
      <c r="AK16" t="s">
        <v>370</v>
      </c>
      <c r="AL16">
        <v>-29.82</v>
      </c>
      <c r="AN16" t="s">
        <v>370</v>
      </c>
      <c r="AO16">
        <v>0</v>
      </c>
      <c r="AQ16" t="s">
        <v>370</v>
      </c>
      <c r="AR16">
        <v>0</v>
      </c>
    </row>
    <row r="17" spans="4:44" x14ac:dyDescent="0.25">
      <c r="D17" t="s">
        <v>46</v>
      </c>
      <c r="E17">
        <v>0.27</v>
      </c>
      <c r="G17" t="s">
        <v>46</v>
      </c>
      <c r="H17">
        <v>0.27</v>
      </c>
      <c r="J17" t="s">
        <v>46</v>
      </c>
      <c r="K17">
        <v>0.27</v>
      </c>
      <c r="M17" t="s">
        <v>46</v>
      </c>
      <c r="N17">
        <v>0.27</v>
      </c>
      <c r="P17" t="s">
        <v>46</v>
      </c>
      <c r="Q17">
        <v>0.41</v>
      </c>
      <c r="S17" t="s">
        <v>46</v>
      </c>
      <c r="T17">
        <v>0.41</v>
      </c>
      <c r="V17" t="s">
        <v>46</v>
      </c>
      <c r="W17">
        <v>0.41</v>
      </c>
      <c r="Y17" t="s">
        <v>46</v>
      </c>
      <c r="Z17">
        <v>0.41</v>
      </c>
      <c r="AB17" t="s">
        <v>46</v>
      </c>
      <c r="AC17">
        <v>0.37</v>
      </c>
      <c r="AE17" t="s">
        <v>46</v>
      </c>
      <c r="AF17">
        <v>0.37</v>
      </c>
      <c r="AH17" t="s">
        <v>46</v>
      </c>
      <c r="AI17">
        <v>0.37</v>
      </c>
      <c r="AK17" t="s">
        <v>46</v>
      </c>
      <c r="AL17">
        <v>0.37</v>
      </c>
      <c r="AN17" t="s">
        <v>46</v>
      </c>
      <c r="AO17">
        <v>0.37</v>
      </c>
      <c r="AQ17" t="s">
        <v>46</v>
      </c>
      <c r="AR17">
        <v>0.37</v>
      </c>
    </row>
    <row r="18" spans="4:44" x14ac:dyDescent="0.25">
      <c r="D18" t="s">
        <v>47</v>
      </c>
      <c r="E18">
        <v>0.9</v>
      </c>
      <c r="G18" t="s">
        <v>47</v>
      </c>
      <c r="H18">
        <v>0.9</v>
      </c>
      <c r="J18" t="s">
        <v>47</v>
      </c>
      <c r="K18">
        <v>0.9</v>
      </c>
      <c r="M18" t="s">
        <v>47</v>
      </c>
      <c r="N18">
        <v>0.9</v>
      </c>
      <c r="P18" t="s">
        <v>47</v>
      </c>
      <c r="Q18">
        <v>1.26</v>
      </c>
      <c r="S18" t="s">
        <v>47</v>
      </c>
      <c r="T18">
        <v>1.26</v>
      </c>
      <c r="V18" t="s">
        <v>47</v>
      </c>
      <c r="W18">
        <v>1.26</v>
      </c>
      <c r="Y18" t="s">
        <v>47</v>
      </c>
      <c r="Z18">
        <v>1.26</v>
      </c>
      <c r="AB18" t="s">
        <v>47</v>
      </c>
      <c r="AC18">
        <v>1.1200000000000001</v>
      </c>
      <c r="AE18" t="s">
        <v>47</v>
      </c>
      <c r="AF18">
        <v>1.1200000000000001</v>
      </c>
      <c r="AH18" t="s">
        <v>47</v>
      </c>
      <c r="AI18">
        <v>1.1200000000000001</v>
      </c>
      <c r="AK18" t="s">
        <v>47</v>
      </c>
      <c r="AL18">
        <v>1.1200000000000001</v>
      </c>
      <c r="AN18" t="s">
        <v>47</v>
      </c>
      <c r="AO18">
        <v>1.1200000000000001</v>
      </c>
      <c r="AQ18" t="s">
        <v>47</v>
      </c>
      <c r="AR18">
        <v>1.1200000000000001</v>
      </c>
    </row>
    <row r="19" spans="4:44" x14ac:dyDescent="0.25">
      <c r="D19" t="s">
        <v>48</v>
      </c>
      <c r="E19">
        <v>98.33</v>
      </c>
      <c r="G19" t="s">
        <v>48</v>
      </c>
      <c r="H19">
        <v>98.33</v>
      </c>
      <c r="J19" t="s">
        <v>48</v>
      </c>
      <c r="K19">
        <v>98.33</v>
      </c>
      <c r="M19" t="s">
        <v>48</v>
      </c>
      <c r="N19">
        <v>98.33</v>
      </c>
      <c r="P19" t="s">
        <v>48</v>
      </c>
      <c r="Q19">
        <v>96.97</v>
      </c>
      <c r="S19" t="s">
        <v>48</v>
      </c>
      <c r="T19">
        <v>90.13</v>
      </c>
      <c r="V19" t="s">
        <v>48</v>
      </c>
      <c r="W19">
        <v>92.89</v>
      </c>
      <c r="Y19" t="s">
        <v>48</v>
      </c>
      <c r="Z19">
        <v>87.31</v>
      </c>
      <c r="AB19" t="s">
        <v>48</v>
      </c>
      <c r="AC19">
        <v>96.72</v>
      </c>
      <c r="AE19" t="s">
        <v>48</v>
      </c>
      <c r="AF19">
        <v>89.74</v>
      </c>
      <c r="AH19" t="s">
        <v>48</v>
      </c>
      <c r="AI19">
        <v>92.3</v>
      </c>
      <c r="AK19" t="s">
        <v>48</v>
      </c>
      <c r="AL19">
        <v>86.93</v>
      </c>
      <c r="AN19" t="s">
        <v>48</v>
      </c>
      <c r="AO19">
        <v>110.03</v>
      </c>
      <c r="AQ19" t="s">
        <v>48</v>
      </c>
      <c r="AR19">
        <v>110.36</v>
      </c>
    </row>
    <row r="20" spans="4:44" x14ac:dyDescent="0.25">
      <c r="D20" t="s">
        <v>49</v>
      </c>
      <c r="E20">
        <v>0.34</v>
      </c>
      <c r="G20" t="s">
        <v>49</v>
      </c>
      <c r="H20">
        <v>0.34</v>
      </c>
      <c r="J20" t="s">
        <v>49</v>
      </c>
      <c r="K20">
        <v>0.34</v>
      </c>
      <c r="M20" t="s">
        <v>49</v>
      </c>
      <c r="N20">
        <v>0.34</v>
      </c>
      <c r="P20" t="s">
        <v>49</v>
      </c>
      <c r="Q20">
        <v>0.49</v>
      </c>
      <c r="S20" t="s">
        <v>49</v>
      </c>
      <c r="T20">
        <v>0.49</v>
      </c>
      <c r="V20" t="s">
        <v>49</v>
      </c>
      <c r="W20">
        <v>0.49</v>
      </c>
      <c r="Y20" t="s">
        <v>49</v>
      </c>
      <c r="Z20">
        <v>0.49</v>
      </c>
      <c r="AB20" t="s">
        <v>49</v>
      </c>
      <c r="AC20">
        <v>0.44</v>
      </c>
      <c r="AE20" t="s">
        <v>49</v>
      </c>
      <c r="AF20">
        <v>0.44</v>
      </c>
      <c r="AH20" t="s">
        <v>49</v>
      </c>
      <c r="AI20">
        <v>0.44</v>
      </c>
      <c r="AK20" t="s">
        <v>49</v>
      </c>
      <c r="AL20">
        <v>0.44</v>
      </c>
      <c r="AN20" t="s">
        <v>49</v>
      </c>
      <c r="AO20">
        <v>0.44</v>
      </c>
      <c r="AQ20" t="s">
        <v>49</v>
      </c>
      <c r="AR20">
        <v>0.44</v>
      </c>
    </row>
    <row r="21" spans="4:44" x14ac:dyDescent="0.25">
      <c r="D21" t="s">
        <v>50</v>
      </c>
      <c r="E21">
        <v>0.36</v>
      </c>
      <c r="G21" t="s">
        <v>50</v>
      </c>
      <c r="H21">
        <v>0.36</v>
      </c>
      <c r="J21" t="s">
        <v>50</v>
      </c>
      <c r="K21">
        <v>0.36</v>
      </c>
      <c r="M21" t="s">
        <v>50</v>
      </c>
      <c r="N21">
        <v>0.36</v>
      </c>
      <c r="P21" t="s">
        <v>50</v>
      </c>
      <c r="Q21">
        <v>0.5</v>
      </c>
      <c r="S21" t="s">
        <v>50</v>
      </c>
      <c r="T21">
        <v>0.5</v>
      </c>
      <c r="V21" t="s">
        <v>50</v>
      </c>
      <c r="W21">
        <v>0.5</v>
      </c>
      <c r="Y21" t="s">
        <v>50</v>
      </c>
      <c r="Z21">
        <v>0.5</v>
      </c>
      <c r="AB21" t="s">
        <v>50</v>
      </c>
      <c r="AC21">
        <v>0.44</v>
      </c>
      <c r="AE21" t="s">
        <v>50</v>
      </c>
      <c r="AF21">
        <v>0.44</v>
      </c>
      <c r="AH21" t="s">
        <v>50</v>
      </c>
      <c r="AI21">
        <v>0.44</v>
      </c>
      <c r="AK21" t="s">
        <v>50</v>
      </c>
      <c r="AL21">
        <v>0.44</v>
      </c>
      <c r="AN21" t="s">
        <v>50</v>
      </c>
      <c r="AO21">
        <v>0.44</v>
      </c>
      <c r="AQ21" t="s">
        <v>50</v>
      </c>
      <c r="AR21">
        <v>0.44</v>
      </c>
    </row>
    <row r="22" spans="4:44" x14ac:dyDescent="0.25">
      <c r="D22" t="s">
        <v>51</v>
      </c>
      <c r="E22">
        <v>0.38</v>
      </c>
      <c r="G22" t="s">
        <v>51</v>
      </c>
      <c r="H22">
        <v>0.38</v>
      </c>
      <c r="J22" t="s">
        <v>51</v>
      </c>
      <c r="K22">
        <v>0.38</v>
      </c>
      <c r="M22" t="s">
        <v>51</v>
      </c>
      <c r="N22">
        <v>0.38</v>
      </c>
      <c r="P22" t="s">
        <v>51</v>
      </c>
      <c r="Q22">
        <v>0.53</v>
      </c>
      <c r="S22" t="s">
        <v>51</v>
      </c>
      <c r="T22">
        <v>0.53</v>
      </c>
      <c r="V22" t="s">
        <v>51</v>
      </c>
      <c r="W22">
        <v>0.53</v>
      </c>
      <c r="Y22" t="s">
        <v>51</v>
      </c>
      <c r="Z22">
        <v>0.53</v>
      </c>
      <c r="AB22" t="s">
        <v>51</v>
      </c>
      <c r="AC22">
        <v>0.47</v>
      </c>
      <c r="AE22" t="s">
        <v>51</v>
      </c>
      <c r="AF22">
        <v>0.47</v>
      </c>
      <c r="AH22" t="s">
        <v>51</v>
      </c>
      <c r="AI22">
        <v>0.47</v>
      </c>
      <c r="AK22" t="s">
        <v>51</v>
      </c>
      <c r="AL22">
        <v>0.47</v>
      </c>
      <c r="AN22" t="s">
        <v>51</v>
      </c>
      <c r="AO22">
        <v>0.47</v>
      </c>
      <c r="AQ22" t="s">
        <v>51</v>
      </c>
      <c r="AR22">
        <v>0.47</v>
      </c>
    </row>
    <row r="23" spans="4:44" x14ac:dyDescent="0.25">
      <c r="D23" t="s">
        <v>52</v>
      </c>
      <c r="E23">
        <v>1.2</v>
      </c>
      <c r="G23" t="s">
        <v>52</v>
      </c>
      <c r="H23">
        <v>1.2</v>
      </c>
      <c r="J23" t="s">
        <v>52</v>
      </c>
      <c r="K23">
        <v>1.2</v>
      </c>
      <c r="M23" t="s">
        <v>52</v>
      </c>
      <c r="N23">
        <v>1.2</v>
      </c>
      <c r="P23" t="s">
        <v>52</v>
      </c>
      <c r="Q23">
        <v>1.78</v>
      </c>
      <c r="S23" t="s">
        <v>52</v>
      </c>
      <c r="T23">
        <v>1.78</v>
      </c>
      <c r="V23" t="s">
        <v>52</v>
      </c>
      <c r="W23">
        <v>1.78</v>
      </c>
      <c r="Y23" t="s">
        <v>52</v>
      </c>
      <c r="Z23">
        <v>1.78</v>
      </c>
      <c r="AB23" t="s">
        <v>52</v>
      </c>
      <c r="AC23">
        <v>1.54</v>
      </c>
      <c r="AE23" t="s">
        <v>52</v>
      </c>
      <c r="AF23">
        <v>1.54</v>
      </c>
      <c r="AH23" t="s">
        <v>52</v>
      </c>
      <c r="AI23">
        <v>1.54</v>
      </c>
      <c r="AK23" t="s">
        <v>52</v>
      </c>
      <c r="AL23">
        <v>1.54</v>
      </c>
      <c r="AN23" t="s">
        <v>52</v>
      </c>
      <c r="AO23">
        <v>1.54</v>
      </c>
      <c r="AQ23" t="s">
        <v>52</v>
      </c>
      <c r="AR23">
        <v>1.54</v>
      </c>
    </row>
    <row r="24" spans="4:44" x14ac:dyDescent="0.25">
      <c r="D24" t="s">
        <v>53</v>
      </c>
      <c r="E24">
        <v>3.3</v>
      </c>
      <c r="G24" t="s">
        <v>53</v>
      </c>
      <c r="H24">
        <v>3.3</v>
      </c>
      <c r="J24" t="s">
        <v>53</v>
      </c>
      <c r="K24">
        <v>3.3</v>
      </c>
      <c r="M24" t="s">
        <v>53</v>
      </c>
      <c r="N24">
        <v>3.3</v>
      </c>
      <c r="P24" t="s">
        <v>53</v>
      </c>
      <c r="Q24">
        <v>4.78</v>
      </c>
      <c r="S24" t="s">
        <v>53</v>
      </c>
      <c r="T24">
        <v>4.78</v>
      </c>
      <c r="V24" t="s">
        <v>53</v>
      </c>
      <c r="W24">
        <v>4.78</v>
      </c>
      <c r="Y24" t="s">
        <v>53</v>
      </c>
      <c r="Z24">
        <v>4.78</v>
      </c>
      <c r="AB24" t="s">
        <v>53</v>
      </c>
      <c r="AC24">
        <v>4.2300000000000004</v>
      </c>
      <c r="AE24" t="s">
        <v>53</v>
      </c>
      <c r="AF24">
        <v>4.2300000000000004</v>
      </c>
      <c r="AH24" t="s">
        <v>53</v>
      </c>
      <c r="AI24">
        <v>4.2300000000000004</v>
      </c>
      <c r="AK24" t="s">
        <v>53</v>
      </c>
      <c r="AL24">
        <v>4.2300000000000004</v>
      </c>
      <c r="AN24" t="s">
        <v>53</v>
      </c>
      <c r="AO24">
        <v>4.2300000000000004</v>
      </c>
      <c r="AQ24" t="s">
        <v>53</v>
      </c>
      <c r="AR24">
        <v>4.2300000000000004</v>
      </c>
    </row>
    <row r="25" spans="4:44" x14ac:dyDescent="0.25">
      <c r="D25" t="s">
        <v>54</v>
      </c>
      <c r="E25">
        <v>0.93</v>
      </c>
      <c r="G25" t="s">
        <v>54</v>
      </c>
      <c r="H25">
        <v>0.93</v>
      </c>
      <c r="J25" t="s">
        <v>54</v>
      </c>
      <c r="K25">
        <v>0.93</v>
      </c>
      <c r="M25" t="s">
        <v>54</v>
      </c>
      <c r="N25">
        <v>0.93</v>
      </c>
      <c r="P25" t="s">
        <v>54</v>
      </c>
      <c r="Q25">
        <v>1.29</v>
      </c>
      <c r="S25" t="s">
        <v>54</v>
      </c>
      <c r="T25">
        <v>1.29</v>
      </c>
      <c r="V25" t="s">
        <v>54</v>
      </c>
      <c r="W25">
        <v>1.29</v>
      </c>
      <c r="Y25" t="s">
        <v>54</v>
      </c>
      <c r="Z25">
        <v>1.29</v>
      </c>
      <c r="AB25" t="s">
        <v>54</v>
      </c>
      <c r="AC25">
        <v>1.1399999999999999</v>
      </c>
      <c r="AE25" t="s">
        <v>54</v>
      </c>
      <c r="AF25">
        <v>1.1399999999999999</v>
      </c>
      <c r="AH25" t="s">
        <v>54</v>
      </c>
      <c r="AI25">
        <v>1.1399999999999999</v>
      </c>
      <c r="AK25" t="s">
        <v>54</v>
      </c>
      <c r="AL25">
        <v>1.1399999999999999</v>
      </c>
      <c r="AN25" t="s">
        <v>54</v>
      </c>
      <c r="AO25">
        <v>1.1399999999999999</v>
      </c>
      <c r="AQ25" t="s">
        <v>54</v>
      </c>
      <c r="AR25">
        <v>1.1399999999999999</v>
      </c>
    </row>
    <row r="26" spans="4:44" x14ac:dyDescent="0.25">
      <c r="D26" t="s">
        <v>55</v>
      </c>
      <c r="E26">
        <v>0.08</v>
      </c>
      <c r="G26" t="s">
        <v>55</v>
      </c>
      <c r="H26">
        <v>0.08</v>
      </c>
      <c r="J26" t="s">
        <v>55</v>
      </c>
      <c r="K26">
        <v>0.08</v>
      </c>
      <c r="M26" t="s">
        <v>55</v>
      </c>
      <c r="N26">
        <v>0.08</v>
      </c>
      <c r="P26" t="s">
        <v>55</v>
      </c>
      <c r="Q26">
        <v>0.06</v>
      </c>
      <c r="S26" t="s">
        <v>55</v>
      </c>
      <c r="T26">
        <v>0.06</v>
      </c>
      <c r="V26" t="s">
        <v>55</v>
      </c>
      <c r="W26">
        <v>0.06</v>
      </c>
      <c r="Y26" t="s">
        <v>55</v>
      </c>
      <c r="Z26">
        <v>0.06</v>
      </c>
      <c r="AB26" t="s">
        <v>55</v>
      </c>
      <c r="AC26">
        <v>7.0000000000000007E-2</v>
      </c>
      <c r="AE26" t="s">
        <v>55</v>
      </c>
      <c r="AF26">
        <v>7.0000000000000007E-2</v>
      </c>
      <c r="AH26" t="s">
        <v>55</v>
      </c>
      <c r="AI26">
        <v>7.0000000000000007E-2</v>
      </c>
      <c r="AK26" t="s">
        <v>55</v>
      </c>
      <c r="AL26">
        <v>7.0000000000000007E-2</v>
      </c>
      <c r="AN26" t="s">
        <v>55</v>
      </c>
      <c r="AO26">
        <v>7.0000000000000007E-2</v>
      </c>
      <c r="AQ26" t="s">
        <v>55</v>
      </c>
      <c r="AR26">
        <v>7.0000000000000007E-2</v>
      </c>
    </row>
    <row r="27" spans="4:44" x14ac:dyDescent="0.25">
      <c r="D27" t="s">
        <v>56</v>
      </c>
      <c r="E27">
        <v>0.01</v>
      </c>
      <c r="G27" t="s">
        <v>56</v>
      </c>
      <c r="H27">
        <v>0.01</v>
      </c>
      <c r="J27" t="s">
        <v>56</v>
      </c>
      <c r="K27">
        <v>0.01</v>
      </c>
      <c r="M27" t="s">
        <v>56</v>
      </c>
      <c r="N27">
        <v>0.01</v>
      </c>
      <c r="P27" t="s">
        <v>56</v>
      </c>
      <c r="Q27">
        <v>0.01</v>
      </c>
      <c r="S27" t="s">
        <v>56</v>
      </c>
      <c r="T27">
        <v>0.01</v>
      </c>
      <c r="V27" t="s">
        <v>56</v>
      </c>
      <c r="W27">
        <v>0.01</v>
      </c>
      <c r="Y27" t="s">
        <v>56</v>
      </c>
      <c r="Z27">
        <v>0.01</v>
      </c>
      <c r="AB27" t="s">
        <v>56</v>
      </c>
      <c r="AC27">
        <v>0.01</v>
      </c>
      <c r="AE27" t="s">
        <v>56</v>
      </c>
      <c r="AF27">
        <v>0.01</v>
      </c>
      <c r="AH27" t="s">
        <v>56</v>
      </c>
      <c r="AI27">
        <v>0.01</v>
      </c>
      <c r="AK27" t="s">
        <v>56</v>
      </c>
      <c r="AL27">
        <v>0.01</v>
      </c>
      <c r="AN27" t="s">
        <v>56</v>
      </c>
      <c r="AO27">
        <v>0.01</v>
      </c>
      <c r="AQ27" t="s">
        <v>56</v>
      </c>
      <c r="AR27">
        <v>0.01</v>
      </c>
    </row>
    <row r="28" spans="4:44" x14ac:dyDescent="0.25">
      <c r="D28" t="s">
        <v>57</v>
      </c>
      <c r="E28">
        <v>4.29</v>
      </c>
      <c r="G28" t="s">
        <v>57</v>
      </c>
      <c r="H28">
        <v>4.29</v>
      </c>
      <c r="J28" t="s">
        <v>57</v>
      </c>
      <c r="K28">
        <v>4.29</v>
      </c>
      <c r="M28" t="s">
        <v>57</v>
      </c>
      <c r="N28">
        <v>4.29</v>
      </c>
      <c r="P28" t="s">
        <v>57</v>
      </c>
      <c r="Q28">
        <v>3.27</v>
      </c>
      <c r="S28" t="s">
        <v>57</v>
      </c>
      <c r="T28">
        <v>3.27</v>
      </c>
      <c r="V28" t="s">
        <v>57</v>
      </c>
      <c r="W28">
        <v>3.27</v>
      </c>
      <c r="Y28" t="s">
        <v>57</v>
      </c>
      <c r="Z28">
        <v>3.27</v>
      </c>
      <c r="AB28" t="s">
        <v>57</v>
      </c>
      <c r="AC28">
        <v>5.13</v>
      </c>
      <c r="AE28" t="s">
        <v>57</v>
      </c>
      <c r="AF28">
        <v>5.13</v>
      </c>
      <c r="AH28" t="s">
        <v>57</v>
      </c>
      <c r="AI28">
        <v>5.13</v>
      </c>
      <c r="AK28" t="s">
        <v>57</v>
      </c>
      <c r="AL28">
        <v>5.13</v>
      </c>
      <c r="AN28" t="s">
        <v>57</v>
      </c>
      <c r="AO28">
        <v>5.13</v>
      </c>
      <c r="AQ28" t="s">
        <v>57</v>
      </c>
      <c r="AR28">
        <v>5.13</v>
      </c>
    </row>
    <row r="29" spans="4:44" x14ac:dyDescent="0.25">
      <c r="D29" t="s">
        <v>58</v>
      </c>
      <c r="E29">
        <v>0.63</v>
      </c>
      <c r="G29" t="s">
        <v>58</v>
      </c>
      <c r="H29">
        <v>0.63</v>
      </c>
      <c r="J29" t="s">
        <v>58</v>
      </c>
      <c r="K29">
        <v>0.63</v>
      </c>
      <c r="M29" t="s">
        <v>58</v>
      </c>
      <c r="N29">
        <v>0.63</v>
      </c>
      <c r="P29" t="s">
        <v>58</v>
      </c>
      <c r="Q29">
        <v>0.91</v>
      </c>
      <c r="S29" t="s">
        <v>58</v>
      </c>
      <c r="T29">
        <v>0.91</v>
      </c>
      <c r="V29" t="s">
        <v>58</v>
      </c>
      <c r="W29">
        <v>0.91</v>
      </c>
      <c r="Y29" t="s">
        <v>58</v>
      </c>
      <c r="Z29">
        <v>0.91</v>
      </c>
      <c r="AB29" t="s">
        <v>58</v>
      </c>
      <c r="AC29">
        <v>0.81</v>
      </c>
      <c r="AE29" t="s">
        <v>58</v>
      </c>
      <c r="AF29">
        <v>0.81</v>
      </c>
      <c r="AH29" t="s">
        <v>58</v>
      </c>
      <c r="AI29">
        <v>0.81</v>
      </c>
      <c r="AK29" t="s">
        <v>58</v>
      </c>
      <c r="AL29">
        <v>0.81</v>
      </c>
      <c r="AN29" t="s">
        <v>58</v>
      </c>
      <c r="AO29">
        <v>0.81</v>
      </c>
      <c r="AQ29" t="s">
        <v>58</v>
      </c>
      <c r="AR29">
        <v>0.81</v>
      </c>
    </row>
    <row r="30" spans="4:44" x14ac:dyDescent="0.25">
      <c r="D30" t="s">
        <v>59</v>
      </c>
      <c r="E30">
        <v>0.12</v>
      </c>
      <c r="G30" t="s">
        <v>59</v>
      </c>
      <c r="H30">
        <v>0.12</v>
      </c>
      <c r="J30" t="s">
        <v>59</v>
      </c>
      <c r="K30">
        <v>0.12</v>
      </c>
      <c r="M30" t="s">
        <v>59</v>
      </c>
      <c r="N30">
        <v>0.12</v>
      </c>
      <c r="P30" t="s">
        <v>59</v>
      </c>
      <c r="Q30">
        <v>0.09</v>
      </c>
      <c r="S30" t="s">
        <v>59</v>
      </c>
      <c r="T30">
        <v>0.09</v>
      </c>
      <c r="V30" t="s">
        <v>59</v>
      </c>
      <c r="W30">
        <v>0.09</v>
      </c>
      <c r="Y30" t="s">
        <v>59</v>
      </c>
      <c r="Z30">
        <v>0.09</v>
      </c>
      <c r="AB30" t="s">
        <v>59</v>
      </c>
      <c r="AC30">
        <v>0.1</v>
      </c>
      <c r="AE30" t="s">
        <v>59</v>
      </c>
      <c r="AF30">
        <v>0.1</v>
      </c>
      <c r="AH30" t="s">
        <v>59</v>
      </c>
      <c r="AI30">
        <v>0.1</v>
      </c>
      <c r="AK30" t="s">
        <v>59</v>
      </c>
      <c r="AL30">
        <v>0.1</v>
      </c>
      <c r="AN30" t="s">
        <v>59</v>
      </c>
      <c r="AO30">
        <v>0.1</v>
      </c>
      <c r="AQ30" t="s">
        <v>59</v>
      </c>
      <c r="AR30">
        <v>0.1</v>
      </c>
    </row>
    <row r="31" spans="4:44" x14ac:dyDescent="0.25">
      <c r="D31" t="s">
        <v>325</v>
      </c>
      <c r="E31">
        <v>55.31</v>
      </c>
      <c r="G31" t="s">
        <v>325</v>
      </c>
      <c r="H31">
        <v>55.31</v>
      </c>
      <c r="J31" t="s">
        <v>325</v>
      </c>
      <c r="K31">
        <v>55.31</v>
      </c>
      <c r="M31" t="s">
        <v>325</v>
      </c>
      <c r="N31">
        <v>55.31</v>
      </c>
      <c r="P31" t="s">
        <v>325</v>
      </c>
      <c r="Q31">
        <v>46.88</v>
      </c>
      <c r="S31" t="s">
        <v>325</v>
      </c>
      <c r="T31">
        <v>40.049999999999997</v>
      </c>
      <c r="V31" t="s">
        <v>325</v>
      </c>
      <c r="W31">
        <v>42.8</v>
      </c>
      <c r="Y31" t="s">
        <v>325</v>
      </c>
      <c r="Z31">
        <v>37.229999999999997</v>
      </c>
      <c r="AB31" t="s">
        <v>325</v>
      </c>
      <c r="AC31">
        <v>46.9</v>
      </c>
      <c r="AE31" t="s">
        <v>325</v>
      </c>
      <c r="AF31">
        <v>39.92</v>
      </c>
      <c r="AH31" t="s">
        <v>325</v>
      </c>
      <c r="AI31">
        <v>42.48</v>
      </c>
      <c r="AK31" t="s">
        <v>325</v>
      </c>
      <c r="AL31">
        <v>37.119999999999997</v>
      </c>
      <c r="AN31" t="s">
        <v>325</v>
      </c>
      <c r="AO31">
        <v>60.21</v>
      </c>
      <c r="AQ31" t="s">
        <v>325</v>
      </c>
      <c r="AR31">
        <v>60.54</v>
      </c>
    </row>
    <row r="32" spans="4:44" x14ac:dyDescent="0.25">
      <c r="D32" t="s">
        <v>60</v>
      </c>
      <c r="E32">
        <v>0.12</v>
      </c>
      <c r="G32" t="s">
        <v>60</v>
      </c>
      <c r="H32">
        <v>0.12</v>
      </c>
      <c r="J32" t="s">
        <v>60</v>
      </c>
      <c r="K32">
        <v>0.12</v>
      </c>
      <c r="M32" t="s">
        <v>60</v>
      </c>
      <c r="N32">
        <v>0.12</v>
      </c>
      <c r="P32" t="s">
        <v>60</v>
      </c>
      <c r="Q32">
        <v>0.09</v>
      </c>
      <c r="S32" t="s">
        <v>60</v>
      </c>
      <c r="T32">
        <v>0.09</v>
      </c>
      <c r="V32" t="s">
        <v>60</v>
      </c>
      <c r="W32">
        <v>0.09</v>
      </c>
      <c r="Y32" t="s">
        <v>60</v>
      </c>
      <c r="Z32">
        <v>0.09</v>
      </c>
      <c r="AB32" t="s">
        <v>60</v>
      </c>
      <c r="AC32">
        <v>0.1</v>
      </c>
      <c r="AE32" t="s">
        <v>60</v>
      </c>
      <c r="AF32">
        <v>0.1</v>
      </c>
      <c r="AH32" t="s">
        <v>60</v>
      </c>
      <c r="AI32">
        <v>0.1</v>
      </c>
      <c r="AK32" t="s">
        <v>60</v>
      </c>
      <c r="AL32">
        <v>0.1</v>
      </c>
      <c r="AN32" t="s">
        <v>60</v>
      </c>
      <c r="AO32">
        <v>0.1</v>
      </c>
      <c r="AQ32" t="s">
        <v>60</v>
      </c>
      <c r="AR32">
        <v>0.1</v>
      </c>
    </row>
    <row r="33" spans="4:44" x14ac:dyDescent="0.25">
      <c r="D33" t="s">
        <v>61</v>
      </c>
      <c r="E33">
        <v>63.98</v>
      </c>
      <c r="G33" t="s">
        <v>61</v>
      </c>
      <c r="H33">
        <v>63.98</v>
      </c>
      <c r="J33" t="s">
        <v>61</v>
      </c>
      <c r="K33">
        <v>63.98</v>
      </c>
      <c r="M33" t="s">
        <v>61</v>
      </c>
      <c r="N33">
        <v>63.98</v>
      </c>
      <c r="P33" t="s">
        <v>61</v>
      </c>
      <c r="Q33">
        <v>39.909999999999997</v>
      </c>
      <c r="S33" t="s">
        <v>61</v>
      </c>
      <c r="T33">
        <v>26.24</v>
      </c>
      <c r="V33" t="s">
        <v>61</v>
      </c>
      <c r="W33">
        <v>31.75</v>
      </c>
      <c r="Y33" t="s">
        <v>61</v>
      </c>
      <c r="Z33">
        <v>20.6</v>
      </c>
      <c r="AB33" t="s">
        <v>61</v>
      </c>
      <c r="AC33">
        <v>36.92</v>
      </c>
      <c r="AE33" t="s">
        <v>61</v>
      </c>
      <c r="AF33">
        <v>22.97</v>
      </c>
      <c r="AH33" t="s">
        <v>61</v>
      </c>
      <c r="AI33">
        <v>28.08</v>
      </c>
      <c r="AK33" t="s">
        <v>61</v>
      </c>
      <c r="AL33">
        <v>17.36</v>
      </c>
      <c r="AN33" t="s">
        <v>61</v>
      </c>
      <c r="AO33">
        <v>63.54</v>
      </c>
      <c r="AQ33" t="s">
        <v>61</v>
      </c>
      <c r="AR33">
        <v>64.2</v>
      </c>
    </row>
    <row r="34" spans="4:44" x14ac:dyDescent="0.25">
      <c r="D34" t="s">
        <v>62</v>
      </c>
      <c r="E34">
        <v>0.11</v>
      </c>
      <c r="G34" t="s">
        <v>62</v>
      </c>
      <c r="H34">
        <v>0.11</v>
      </c>
      <c r="J34" t="s">
        <v>62</v>
      </c>
      <c r="K34">
        <v>0.11</v>
      </c>
      <c r="M34" t="s">
        <v>62</v>
      </c>
      <c r="N34">
        <v>0.11</v>
      </c>
      <c r="P34" t="s">
        <v>62</v>
      </c>
      <c r="Q34">
        <v>0.16</v>
      </c>
      <c r="S34" t="s">
        <v>62</v>
      </c>
      <c r="T34">
        <v>0.16</v>
      </c>
      <c r="V34" t="s">
        <v>62</v>
      </c>
      <c r="W34">
        <v>0.16</v>
      </c>
      <c r="Y34" t="s">
        <v>62</v>
      </c>
      <c r="Z34">
        <v>0.16</v>
      </c>
      <c r="AB34" t="s">
        <v>62</v>
      </c>
      <c r="AC34">
        <v>0.15</v>
      </c>
      <c r="AE34" t="s">
        <v>62</v>
      </c>
      <c r="AF34">
        <v>0.15</v>
      </c>
      <c r="AH34" t="s">
        <v>62</v>
      </c>
      <c r="AI34">
        <v>0.15</v>
      </c>
      <c r="AK34" t="s">
        <v>62</v>
      </c>
      <c r="AL34">
        <v>0.15</v>
      </c>
      <c r="AN34" t="s">
        <v>62</v>
      </c>
      <c r="AO34">
        <v>0.15</v>
      </c>
      <c r="AQ34" t="s">
        <v>62</v>
      </c>
      <c r="AR34">
        <v>0.15</v>
      </c>
    </row>
    <row r="35" spans="4:44" x14ac:dyDescent="0.25">
      <c r="D35" t="s">
        <v>63</v>
      </c>
      <c r="E35">
        <v>0.01</v>
      </c>
      <c r="G35" t="s">
        <v>63</v>
      </c>
      <c r="H35">
        <v>0.01</v>
      </c>
      <c r="J35" t="s">
        <v>63</v>
      </c>
      <c r="K35">
        <v>0.01</v>
      </c>
      <c r="M35" t="s">
        <v>63</v>
      </c>
      <c r="N35">
        <v>0.01</v>
      </c>
      <c r="P35" t="s">
        <v>63</v>
      </c>
      <c r="Q35">
        <v>0.02</v>
      </c>
      <c r="S35" t="s">
        <v>63</v>
      </c>
      <c r="T35">
        <v>0.02</v>
      </c>
      <c r="V35" t="s">
        <v>63</v>
      </c>
      <c r="W35">
        <v>0.02</v>
      </c>
      <c r="Y35" t="s">
        <v>63</v>
      </c>
      <c r="Z35">
        <v>0.02</v>
      </c>
      <c r="AB35" t="s">
        <v>63</v>
      </c>
      <c r="AC35">
        <v>0.02</v>
      </c>
      <c r="AE35" t="s">
        <v>63</v>
      </c>
      <c r="AF35">
        <v>0.02</v>
      </c>
      <c r="AH35" t="s">
        <v>63</v>
      </c>
      <c r="AI35">
        <v>0.02</v>
      </c>
      <c r="AK35" t="s">
        <v>63</v>
      </c>
      <c r="AL35">
        <v>0.02</v>
      </c>
      <c r="AN35" t="s">
        <v>63</v>
      </c>
      <c r="AO35">
        <v>0.02</v>
      </c>
      <c r="AQ35" t="s">
        <v>63</v>
      </c>
      <c r="AR35">
        <v>0.02</v>
      </c>
    </row>
    <row r="36" spans="4:44" x14ac:dyDescent="0.25">
      <c r="D36" t="s">
        <v>64</v>
      </c>
      <c r="E36">
        <v>0.01</v>
      </c>
      <c r="G36" t="s">
        <v>64</v>
      </c>
      <c r="H36">
        <v>0.01</v>
      </c>
      <c r="J36" t="s">
        <v>64</v>
      </c>
      <c r="K36">
        <v>0.01</v>
      </c>
      <c r="M36" t="s">
        <v>64</v>
      </c>
      <c r="N36">
        <v>0.01</v>
      </c>
      <c r="P36" t="s">
        <v>64</v>
      </c>
      <c r="Q36">
        <v>0.01</v>
      </c>
      <c r="S36" t="s">
        <v>64</v>
      </c>
      <c r="T36">
        <v>0.01</v>
      </c>
      <c r="V36" t="s">
        <v>64</v>
      </c>
      <c r="W36">
        <v>0.01</v>
      </c>
      <c r="Y36" t="s">
        <v>64</v>
      </c>
      <c r="Z36">
        <v>0.01</v>
      </c>
      <c r="AB36" t="s">
        <v>64</v>
      </c>
      <c r="AC36">
        <v>0.01</v>
      </c>
      <c r="AE36" t="s">
        <v>64</v>
      </c>
      <c r="AF36">
        <v>0.01</v>
      </c>
      <c r="AH36" t="s">
        <v>64</v>
      </c>
      <c r="AI36">
        <v>0.01</v>
      </c>
      <c r="AK36" t="s">
        <v>64</v>
      </c>
      <c r="AL36">
        <v>0.01</v>
      </c>
      <c r="AN36" t="s">
        <v>64</v>
      </c>
      <c r="AO36">
        <v>0.01</v>
      </c>
      <c r="AQ36" t="s">
        <v>64</v>
      </c>
      <c r="AR36">
        <v>0.01</v>
      </c>
    </row>
    <row r="37" spans="4:44" x14ac:dyDescent="0.25">
      <c r="D37" t="s">
        <v>65</v>
      </c>
      <c r="E37">
        <v>0.04</v>
      </c>
      <c r="G37" t="s">
        <v>65</v>
      </c>
      <c r="H37">
        <v>0.04</v>
      </c>
      <c r="J37" t="s">
        <v>65</v>
      </c>
      <c r="K37">
        <v>0.04</v>
      </c>
      <c r="M37" t="s">
        <v>65</v>
      </c>
      <c r="N37">
        <v>0.04</v>
      </c>
      <c r="P37" t="s">
        <v>65</v>
      </c>
      <c r="Q37">
        <v>0.04</v>
      </c>
      <c r="S37" t="s">
        <v>65</v>
      </c>
      <c r="T37">
        <v>0.04</v>
      </c>
      <c r="V37" t="s">
        <v>65</v>
      </c>
      <c r="W37">
        <v>0.04</v>
      </c>
      <c r="Y37" t="s">
        <v>65</v>
      </c>
      <c r="Z37">
        <v>0.04</v>
      </c>
      <c r="AB37" t="s">
        <v>65</v>
      </c>
      <c r="AC37">
        <v>0.04</v>
      </c>
      <c r="AE37" t="s">
        <v>65</v>
      </c>
      <c r="AF37">
        <v>0.04</v>
      </c>
      <c r="AH37" t="s">
        <v>65</v>
      </c>
      <c r="AI37">
        <v>0.04</v>
      </c>
      <c r="AK37" t="s">
        <v>65</v>
      </c>
      <c r="AL37">
        <v>0.04</v>
      </c>
      <c r="AN37" t="s">
        <v>65</v>
      </c>
      <c r="AO37">
        <v>0.04</v>
      </c>
      <c r="AQ37" t="s">
        <v>65</v>
      </c>
      <c r="AR37">
        <v>0.04</v>
      </c>
    </row>
    <row r="38" spans="4:44" x14ac:dyDescent="0.25">
      <c r="D38" t="s">
        <v>66</v>
      </c>
      <c r="E38">
        <v>-12.65</v>
      </c>
      <c r="G38" t="s">
        <v>66</v>
      </c>
      <c r="H38">
        <v>-12.65</v>
      </c>
      <c r="J38" t="s">
        <v>66</v>
      </c>
      <c r="K38">
        <v>-12.65</v>
      </c>
      <c r="M38" t="s">
        <v>66</v>
      </c>
      <c r="N38">
        <v>-12.65</v>
      </c>
      <c r="P38" t="s">
        <v>66</v>
      </c>
      <c r="Q38">
        <v>-11.95</v>
      </c>
      <c r="S38" t="s">
        <v>66</v>
      </c>
      <c r="T38">
        <v>-11.95</v>
      </c>
      <c r="V38" t="s">
        <v>66</v>
      </c>
      <c r="W38">
        <v>-11.95</v>
      </c>
      <c r="Y38" t="s">
        <v>66</v>
      </c>
      <c r="Z38">
        <v>-11.95</v>
      </c>
      <c r="AB38" t="s">
        <v>66</v>
      </c>
      <c r="AC38">
        <v>-15.19</v>
      </c>
      <c r="AE38" t="s">
        <v>66</v>
      </c>
      <c r="AF38">
        <v>-15.19</v>
      </c>
      <c r="AH38" t="s">
        <v>66</v>
      </c>
      <c r="AI38">
        <v>-15.19</v>
      </c>
      <c r="AK38" t="s">
        <v>66</v>
      </c>
      <c r="AL38">
        <v>-15.19</v>
      </c>
      <c r="AN38" t="s">
        <v>66</v>
      </c>
      <c r="AO38">
        <v>-15.19</v>
      </c>
      <c r="AQ38" t="s">
        <v>66</v>
      </c>
      <c r="AR38">
        <v>-15.19</v>
      </c>
    </row>
    <row r="39" spans="4:44" x14ac:dyDescent="0.25">
      <c r="D39" t="s">
        <v>436</v>
      </c>
      <c r="E39">
        <v>0</v>
      </c>
      <c r="G39" t="s">
        <v>436</v>
      </c>
      <c r="H39">
        <v>0</v>
      </c>
      <c r="J39" t="s">
        <v>436</v>
      </c>
      <c r="K39">
        <v>0</v>
      </c>
      <c r="M39" t="s">
        <v>436</v>
      </c>
      <c r="N39">
        <v>0</v>
      </c>
      <c r="P39" t="s">
        <v>436</v>
      </c>
      <c r="Q39">
        <v>0</v>
      </c>
      <c r="S39" t="s">
        <v>436</v>
      </c>
      <c r="T39">
        <v>0</v>
      </c>
      <c r="V39" t="s">
        <v>436</v>
      </c>
      <c r="W39">
        <v>0</v>
      </c>
      <c r="Y39" t="s">
        <v>436</v>
      </c>
      <c r="Z39">
        <v>0</v>
      </c>
      <c r="AB39" t="s">
        <v>436</v>
      </c>
      <c r="AC39">
        <v>0</v>
      </c>
      <c r="AE39" t="s">
        <v>436</v>
      </c>
      <c r="AF39">
        <v>0</v>
      </c>
      <c r="AH39" t="s">
        <v>436</v>
      </c>
      <c r="AI39">
        <v>0</v>
      </c>
      <c r="AK39" t="s">
        <v>436</v>
      </c>
      <c r="AL39">
        <v>0</v>
      </c>
      <c r="AN39" t="s">
        <v>436</v>
      </c>
      <c r="AO39">
        <v>94.67</v>
      </c>
      <c r="AQ39" t="s">
        <v>436</v>
      </c>
      <c r="AR39">
        <v>0</v>
      </c>
    </row>
    <row r="40" spans="4:44" x14ac:dyDescent="0.25">
      <c r="D40" t="s">
        <v>438</v>
      </c>
      <c r="E40">
        <v>0</v>
      </c>
      <c r="G40" t="s">
        <v>438</v>
      </c>
      <c r="H40">
        <v>0</v>
      </c>
      <c r="J40" t="s">
        <v>438</v>
      </c>
      <c r="K40">
        <v>0</v>
      </c>
      <c r="M40" t="s">
        <v>438</v>
      </c>
      <c r="N40">
        <v>0</v>
      </c>
      <c r="P40" t="s">
        <v>438</v>
      </c>
      <c r="Q40">
        <v>0</v>
      </c>
      <c r="S40" t="s">
        <v>438</v>
      </c>
      <c r="T40">
        <v>0</v>
      </c>
      <c r="V40" t="s">
        <v>438</v>
      </c>
      <c r="W40">
        <v>0</v>
      </c>
      <c r="Y40" t="s">
        <v>438</v>
      </c>
      <c r="Z40">
        <v>0</v>
      </c>
      <c r="AB40" t="s">
        <v>438</v>
      </c>
      <c r="AC40">
        <v>0</v>
      </c>
      <c r="AE40" t="s">
        <v>438</v>
      </c>
      <c r="AF40">
        <v>0</v>
      </c>
      <c r="AH40" t="s">
        <v>438</v>
      </c>
      <c r="AI40">
        <v>0</v>
      </c>
      <c r="AK40" t="s">
        <v>438</v>
      </c>
      <c r="AL40">
        <v>0</v>
      </c>
      <c r="AN40" t="s">
        <v>438</v>
      </c>
      <c r="AO40">
        <v>94.67</v>
      </c>
      <c r="AQ40" t="s">
        <v>438</v>
      </c>
      <c r="AR40">
        <v>0</v>
      </c>
    </row>
    <row r="41" spans="4:44" x14ac:dyDescent="0.25">
      <c r="D41" t="s">
        <v>326</v>
      </c>
      <c r="E41">
        <v>-85.67</v>
      </c>
      <c r="G41" t="s">
        <v>326</v>
      </c>
      <c r="H41">
        <v>0</v>
      </c>
      <c r="J41" t="s">
        <v>326</v>
      </c>
      <c r="K41">
        <v>-85.67</v>
      </c>
      <c r="M41" t="s">
        <v>326</v>
      </c>
      <c r="N41">
        <v>0</v>
      </c>
      <c r="P41" t="s">
        <v>326</v>
      </c>
      <c r="Q41">
        <v>-79.760000000000005</v>
      </c>
      <c r="S41" t="s">
        <v>326</v>
      </c>
      <c r="T41">
        <v>0</v>
      </c>
      <c r="V41" t="s">
        <v>326</v>
      </c>
      <c r="W41">
        <v>-75.680000000000007</v>
      </c>
      <c r="Y41" t="s">
        <v>326</v>
      </c>
      <c r="Z41">
        <v>0</v>
      </c>
      <c r="AB41" t="s">
        <v>326</v>
      </c>
      <c r="AC41">
        <v>-81.349999999999994</v>
      </c>
      <c r="AE41" t="s">
        <v>326</v>
      </c>
      <c r="AF41">
        <v>0</v>
      </c>
      <c r="AH41" t="s">
        <v>326</v>
      </c>
      <c r="AI41">
        <v>-76.94</v>
      </c>
      <c r="AK41" t="s">
        <v>326</v>
      </c>
      <c r="AL41">
        <v>0</v>
      </c>
      <c r="AN41" t="s">
        <v>326</v>
      </c>
      <c r="AO41">
        <v>0</v>
      </c>
      <c r="AQ41" t="s">
        <v>326</v>
      </c>
      <c r="AR41">
        <v>-94.99</v>
      </c>
    </row>
    <row r="42" spans="4:44" x14ac:dyDescent="0.25">
      <c r="D42" t="s">
        <v>369</v>
      </c>
      <c r="E42">
        <v>0</v>
      </c>
      <c r="G42" t="s">
        <v>369</v>
      </c>
      <c r="H42">
        <v>85.67</v>
      </c>
      <c r="J42" t="s">
        <v>369</v>
      </c>
      <c r="K42">
        <v>0</v>
      </c>
      <c r="M42" t="s">
        <v>369</v>
      </c>
      <c r="N42">
        <v>85.67</v>
      </c>
      <c r="P42" t="s">
        <v>369</v>
      </c>
      <c r="Q42">
        <v>0</v>
      </c>
      <c r="S42" t="s">
        <v>369</v>
      </c>
      <c r="T42">
        <v>72.92</v>
      </c>
      <c r="V42" t="s">
        <v>369</v>
      </c>
      <c r="W42">
        <v>0</v>
      </c>
      <c r="Y42" t="s">
        <v>369</v>
      </c>
      <c r="Z42">
        <v>70.099999999999994</v>
      </c>
      <c r="AB42" t="s">
        <v>369</v>
      </c>
      <c r="AC42">
        <v>0</v>
      </c>
      <c r="AE42" t="s">
        <v>369</v>
      </c>
      <c r="AF42">
        <v>74.38</v>
      </c>
      <c r="AH42" t="s">
        <v>369</v>
      </c>
      <c r="AI42">
        <v>0</v>
      </c>
      <c r="AK42" t="s">
        <v>369</v>
      </c>
      <c r="AL42">
        <v>71.569999999999993</v>
      </c>
      <c r="AN42" t="s">
        <v>369</v>
      </c>
      <c r="AO42">
        <v>0</v>
      </c>
      <c r="AQ42" t="s">
        <v>369</v>
      </c>
      <c r="AR42">
        <v>0</v>
      </c>
    </row>
    <row r="43" spans="4:44" x14ac:dyDescent="0.25">
      <c r="D43" t="s">
        <v>67</v>
      </c>
      <c r="E43">
        <v>-5.01</v>
      </c>
      <c r="G43" t="s">
        <v>67</v>
      </c>
      <c r="H43">
        <v>-5.01</v>
      </c>
      <c r="J43" t="s">
        <v>67</v>
      </c>
      <c r="K43">
        <v>-5.01</v>
      </c>
      <c r="M43" t="s">
        <v>67</v>
      </c>
      <c r="N43">
        <v>-5.01</v>
      </c>
      <c r="P43" t="s">
        <v>67</v>
      </c>
      <c r="Q43">
        <v>-4.3099999999999996</v>
      </c>
      <c r="S43" t="s">
        <v>67</v>
      </c>
      <c r="T43">
        <v>-4.3099999999999996</v>
      </c>
      <c r="V43" t="s">
        <v>67</v>
      </c>
      <c r="W43">
        <v>-4.3099999999999996</v>
      </c>
      <c r="Y43" t="s">
        <v>67</v>
      </c>
      <c r="Z43">
        <v>-4.3099999999999996</v>
      </c>
      <c r="AB43" t="s">
        <v>67</v>
      </c>
      <c r="AC43">
        <v>-6.07</v>
      </c>
      <c r="AE43" t="s">
        <v>67</v>
      </c>
      <c r="AF43">
        <v>-6.07</v>
      </c>
      <c r="AH43" t="s">
        <v>67</v>
      </c>
      <c r="AI43">
        <v>-6.07</v>
      </c>
      <c r="AK43" t="s">
        <v>67</v>
      </c>
      <c r="AL43">
        <v>-6.07</v>
      </c>
      <c r="AN43" t="s">
        <v>67</v>
      </c>
      <c r="AO43">
        <v>-6.07</v>
      </c>
      <c r="AQ43" t="s">
        <v>67</v>
      </c>
      <c r="AR43">
        <v>-6.07</v>
      </c>
    </row>
    <row r="44" spans="4:44" x14ac:dyDescent="0.25">
      <c r="D44" t="s">
        <v>327</v>
      </c>
      <c r="E44">
        <v>5.01</v>
      </c>
      <c r="G44" t="s">
        <v>327</v>
      </c>
      <c r="H44">
        <v>5.01</v>
      </c>
      <c r="J44" t="s">
        <v>327</v>
      </c>
      <c r="K44">
        <v>5.01</v>
      </c>
      <c r="M44" t="s">
        <v>327</v>
      </c>
      <c r="N44">
        <v>5.01</v>
      </c>
      <c r="P44" t="s">
        <v>327</v>
      </c>
      <c r="Q44">
        <v>4.3099999999999996</v>
      </c>
      <c r="S44" t="s">
        <v>327</v>
      </c>
      <c r="T44">
        <v>4.3099999999999996</v>
      </c>
      <c r="V44" t="s">
        <v>327</v>
      </c>
      <c r="W44">
        <v>4.3099999999999996</v>
      </c>
      <c r="Y44" t="s">
        <v>327</v>
      </c>
      <c r="Z44">
        <v>4.3099999999999996</v>
      </c>
      <c r="AB44" t="s">
        <v>327</v>
      </c>
      <c r="AC44">
        <v>6.07</v>
      </c>
      <c r="AE44" t="s">
        <v>327</v>
      </c>
      <c r="AF44">
        <v>6.07</v>
      </c>
      <c r="AH44" t="s">
        <v>327</v>
      </c>
      <c r="AI44">
        <v>6.07</v>
      </c>
      <c r="AK44" t="s">
        <v>327</v>
      </c>
      <c r="AL44">
        <v>6.07</v>
      </c>
      <c r="AN44" t="s">
        <v>327</v>
      </c>
      <c r="AO44">
        <v>6.07</v>
      </c>
      <c r="AQ44" t="s">
        <v>327</v>
      </c>
      <c r="AR44">
        <v>6.07</v>
      </c>
    </row>
    <row r="45" spans="4:44" x14ac:dyDescent="0.25">
      <c r="D45" t="s">
        <v>68</v>
      </c>
      <c r="E45">
        <v>0.15</v>
      </c>
      <c r="G45" t="s">
        <v>68</v>
      </c>
      <c r="H45">
        <v>0.15</v>
      </c>
      <c r="J45" t="s">
        <v>68</v>
      </c>
      <c r="K45">
        <v>0.15</v>
      </c>
      <c r="M45" t="s">
        <v>68</v>
      </c>
      <c r="N45">
        <v>0.15</v>
      </c>
      <c r="P45" t="s">
        <v>68</v>
      </c>
      <c r="Q45">
        <v>0.11</v>
      </c>
      <c r="S45" t="s">
        <v>68</v>
      </c>
      <c r="T45">
        <v>0.11</v>
      </c>
      <c r="V45" t="s">
        <v>68</v>
      </c>
      <c r="W45">
        <v>0.11</v>
      </c>
      <c r="Y45" t="s">
        <v>68</v>
      </c>
      <c r="Z45">
        <v>0.11</v>
      </c>
      <c r="AB45" t="s">
        <v>68</v>
      </c>
      <c r="AC45">
        <v>0.12</v>
      </c>
      <c r="AE45" t="s">
        <v>68</v>
      </c>
      <c r="AF45">
        <v>0.12</v>
      </c>
      <c r="AH45" t="s">
        <v>68</v>
      </c>
      <c r="AI45">
        <v>0.12</v>
      </c>
      <c r="AK45" t="s">
        <v>68</v>
      </c>
      <c r="AL45">
        <v>0.12</v>
      </c>
      <c r="AN45" t="s">
        <v>68</v>
      </c>
      <c r="AO45">
        <v>0.12</v>
      </c>
      <c r="AQ45" t="s">
        <v>68</v>
      </c>
      <c r="AR45">
        <v>0.12</v>
      </c>
    </row>
    <row r="46" spans="4:44" x14ac:dyDescent="0.25">
      <c r="D46" t="s">
        <v>69</v>
      </c>
      <c r="E46">
        <v>24.17</v>
      </c>
      <c r="G46" t="s">
        <v>69</v>
      </c>
      <c r="H46">
        <v>24.17</v>
      </c>
      <c r="J46" t="s">
        <v>69</v>
      </c>
      <c r="K46">
        <v>24.17</v>
      </c>
      <c r="M46" t="s">
        <v>69</v>
      </c>
      <c r="N46">
        <v>24.17</v>
      </c>
      <c r="P46" t="s">
        <v>69</v>
      </c>
      <c r="Q46">
        <v>28.16</v>
      </c>
      <c r="S46" t="s">
        <v>69</v>
      </c>
      <c r="T46">
        <v>28.16</v>
      </c>
      <c r="V46" t="s">
        <v>69</v>
      </c>
      <c r="W46">
        <v>28.16</v>
      </c>
      <c r="Y46" t="s">
        <v>69</v>
      </c>
      <c r="Z46">
        <v>28.16</v>
      </c>
      <c r="AB46" t="s">
        <v>69</v>
      </c>
      <c r="AC46">
        <v>29.55</v>
      </c>
      <c r="AE46" t="s">
        <v>69</v>
      </c>
      <c r="AF46">
        <v>29.55</v>
      </c>
      <c r="AH46" t="s">
        <v>69</v>
      </c>
      <c r="AI46">
        <v>29.55</v>
      </c>
      <c r="AK46" t="s">
        <v>69</v>
      </c>
      <c r="AL46">
        <v>29.55</v>
      </c>
      <c r="AN46" t="s">
        <v>69</v>
      </c>
      <c r="AO46">
        <v>29.55</v>
      </c>
      <c r="AQ46" t="s">
        <v>69</v>
      </c>
      <c r="AR46">
        <v>29.55</v>
      </c>
    </row>
    <row r="47" spans="4:44" x14ac:dyDescent="0.25">
      <c r="D47" t="s">
        <v>70</v>
      </c>
      <c r="E47">
        <v>0</v>
      </c>
      <c r="G47" t="s">
        <v>70</v>
      </c>
      <c r="H47">
        <v>0</v>
      </c>
      <c r="J47" t="s">
        <v>70</v>
      </c>
      <c r="K47">
        <v>0</v>
      </c>
      <c r="M47" t="s">
        <v>70</v>
      </c>
      <c r="N47">
        <v>0</v>
      </c>
      <c r="P47" t="s">
        <v>70</v>
      </c>
      <c r="Q47">
        <v>0</v>
      </c>
      <c r="S47" t="s">
        <v>70</v>
      </c>
      <c r="T47">
        <v>0</v>
      </c>
      <c r="V47" t="s">
        <v>70</v>
      </c>
      <c r="W47">
        <v>0</v>
      </c>
      <c r="Y47" t="s">
        <v>70</v>
      </c>
      <c r="Z47">
        <v>0</v>
      </c>
      <c r="AB47" t="s">
        <v>70</v>
      </c>
      <c r="AC47">
        <v>0</v>
      </c>
      <c r="AE47" t="s">
        <v>70</v>
      </c>
      <c r="AF47">
        <v>0</v>
      </c>
      <c r="AH47" t="s">
        <v>70</v>
      </c>
      <c r="AI47">
        <v>0</v>
      </c>
      <c r="AK47" t="s">
        <v>70</v>
      </c>
      <c r="AL47">
        <v>0</v>
      </c>
      <c r="AN47" t="s">
        <v>70</v>
      </c>
      <c r="AO47">
        <v>0</v>
      </c>
      <c r="AQ47" t="s">
        <v>70</v>
      </c>
      <c r="AR47">
        <v>0</v>
      </c>
    </row>
    <row r="48" spans="4:44" x14ac:dyDescent="0.25">
      <c r="D48" t="s">
        <v>71</v>
      </c>
      <c r="E48">
        <v>-4.29</v>
      </c>
      <c r="G48" t="s">
        <v>71</v>
      </c>
      <c r="H48">
        <v>-4.29</v>
      </c>
      <c r="J48" t="s">
        <v>71</v>
      </c>
      <c r="K48">
        <v>-4.29</v>
      </c>
      <c r="M48" t="s">
        <v>71</v>
      </c>
      <c r="N48">
        <v>-4.29</v>
      </c>
      <c r="P48" t="s">
        <v>71</v>
      </c>
      <c r="Q48">
        <v>-3.27</v>
      </c>
      <c r="S48" t="s">
        <v>71</v>
      </c>
      <c r="T48">
        <v>-3.27</v>
      </c>
      <c r="V48" t="s">
        <v>71</v>
      </c>
      <c r="W48">
        <v>-3.27</v>
      </c>
      <c r="Y48" t="s">
        <v>71</v>
      </c>
      <c r="Z48">
        <v>-3.27</v>
      </c>
      <c r="AB48" t="s">
        <v>71</v>
      </c>
      <c r="AC48">
        <v>-5.13</v>
      </c>
      <c r="AE48" t="s">
        <v>71</v>
      </c>
      <c r="AF48">
        <v>-5.13</v>
      </c>
      <c r="AH48" t="s">
        <v>71</v>
      </c>
      <c r="AI48">
        <v>-5.13</v>
      </c>
      <c r="AK48" t="s">
        <v>71</v>
      </c>
      <c r="AL48">
        <v>-5.13</v>
      </c>
      <c r="AN48" t="s">
        <v>71</v>
      </c>
      <c r="AO48">
        <v>-5.13</v>
      </c>
      <c r="AQ48" t="s">
        <v>71</v>
      </c>
      <c r="AR48">
        <v>-5.13</v>
      </c>
    </row>
    <row r="49" spans="4:44" x14ac:dyDescent="0.25">
      <c r="D49" t="s">
        <v>72</v>
      </c>
      <c r="E49">
        <v>-10.89</v>
      </c>
      <c r="G49" t="s">
        <v>72</v>
      </c>
      <c r="H49">
        <v>-10.89</v>
      </c>
      <c r="J49" t="s">
        <v>72</v>
      </c>
      <c r="K49">
        <v>-10.89</v>
      </c>
      <c r="M49" t="s">
        <v>72</v>
      </c>
      <c r="N49">
        <v>-10.89</v>
      </c>
      <c r="P49" t="s">
        <v>72</v>
      </c>
      <c r="Q49">
        <v>-9.67</v>
      </c>
      <c r="S49" t="s">
        <v>72</v>
      </c>
      <c r="T49">
        <v>-9.67</v>
      </c>
      <c r="V49" t="s">
        <v>72</v>
      </c>
      <c r="W49">
        <v>-9.67</v>
      </c>
      <c r="Y49" t="s">
        <v>72</v>
      </c>
      <c r="Z49">
        <v>-9.67</v>
      </c>
      <c r="AB49" t="s">
        <v>72</v>
      </c>
      <c r="AC49">
        <v>-13.1</v>
      </c>
      <c r="AE49" t="s">
        <v>72</v>
      </c>
      <c r="AF49">
        <v>-13.1</v>
      </c>
      <c r="AH49" t="s">
        <v>72</v>
      </c>
      <c r="AI49">
        <v>-13.1</v>
      </c>
      <c r="AK49" t="s">
        <v>72</v>
      </c>
      <c r="AL49">
        <v>-13.1</v>
      </c>
      <c r="AN49" t="s">
        <v>72</v>
      </c>
      <c r="AO49">
        <v>-13.1</v>
      </c>
      <c r="AQ49" t="s">
        <v>72</v>
      </c>
      <c r="AR49">
        <v>-13.1</v>
      </c>
    </row>
    <row r="50" spans="4:44" x14ac:dyDescent="0.25">
      <c r="D50" t="s">
        <v>73</v>
      </c>
      <c r="E50">
        <v>0.11</v>
      </c>
      <c r="G50" t="s">
        <v>73</v>
      </c>
      <c r="H50">
        <v>0.11</v>
      </c>
      <c r="J50" t="s">
        <v>73</v>
      </c>
      <c r="K50">
        <v>0.11</v>
      </c>
      <c r="M50" t="s">
        <v>73</v>
      </c>
      <c r="N50">
        <v>0.11</v>
      </c>
      <c r="P50" t="s">
        <v>73</v>
      </c>
      <c r="Q50">
        <v>0.16</v>
      </c>
      <c r="S50" t="s">
        <v>73</v>
      </c>
      <c r="T50">
        <v>0.16</v>
      </c>
      <c r="V50" t="s">
        <v>73</v>
      </c>
      <c r="W50">
        <v>0.16</v>
      </c>
      <c r="Y50" t="s">
        <v>73</v>
      </c>
      <c r="Z50">
        <v>0.16</v>
      </c>
      <c r="AB50" t="s">
        <v>73</v>
      </c>
      <c r="AC50">
        <v>0.15</v>
      </c>
      <c r="AE50" t="s">
        <v>73</v>
      </c>
      <c r="AF50">
        <v>0.15</v>
      </c>
      <c r="AH50" t="s">
        <v>73</v>
      </c>
      <c r="AI50">
        <v>0.15</v>
      </c>
      <c r="AK50" t="s">
        <v>73</v>
      </c>
      <c r="AL50">
        <v>0.15</v>
      </c>
      <c r="AN50" t="s">
        <v>73</v>
      </c>
      <c r="AO50">
        <v>0.15</v>
      </c>
      <c r="AQ50" t="s">
        <v>73</v>
      </c>
      <c r="AR50">
        <v>0.15</v>
      </c>
    </row>
    <row r="51" spans="4:44" x14ac:dyDescent="0.25">
      <c r="D51" t="s">
        <v>74</v>
      </c>
      <c r="E51">
        <v>12.44</v>
      </c>
      <c r="G51" t="s">
        <v>74</v>
      </c>
      <c r="H51">
        <v>12.44</v>
      </c>
      <c r="J51" t="s">
        <v>74</v>
      </c>
      <c r="K51">
        <v>12.44</v>
      </c>
      <c r="M51" t="s">
        <v>74</v>
      </c>
      <c r="N51">
        <v>12.44</v>
      </c>
      <c r="P51" t="s">
        <v>74</v>
      </c>
      <c r="Q51">
        <v>17.32</v>
      </c>
      <c r="S51" t="s">
        <v>74</v>
      </c>
      <c r="T51">
        <v>17.32</v>
      </c>
      <c r="V51" t="s">
        <v>74</v>
      </c>
      <c r="W51">
        <v>17.32</v>
      </c>
      <c r="Y51" t="s">
        <v>74</v>
      </c>
      <c r="Z51">
        <v>17.32</v>
      </c>
      <c r="AB51" t="s">
        <v>74</v>
      </c>
      <c r="AC51">
        <v>15.4</v>
      </c>
      <c r="AE51" t="s">
        <v>74</v>
      </c>
      <c r="AF51">
        <v>15.4</v>
      </c>
      <c r="AH51" t="s">
        <v>74</v>
      </c>
      <c r="AI51">
        <v>15.4</v>
      </c>
      <c r="AK51" t="s">
        <v>74</v>
      </c>
      <c r="AL51">
        <v>15.4</v>
      </c>
      <c r="AN51" t="s">
        <v>74</v>
      </c>
      <c r="AO51">
        <v>15.4</v>
      </c>
      <c r="AQ51" t="s">
        <v>74</v>
      </c>
      <c r="AR51">
        <v>15.4</v>
      </c>
    </row>
    <row r="52" spans="4:44" x14ac:dyDescent="0.25">
      <c r="D52" t="s">
        <v>75</v>
      </c>
      <c r="E52">
        <v>2.5</v>
      </c>
      <c r="G52" t="s">
        <v>75</v>
      </c>
      <c r="H52">
        <v>2.5</v>
      </c>
      <c r="J52" t="s">
        <v>75</v>
      </c>
      <c r="K52">
        <v>2.5</v>
      </c>
      <c r="M52" t="s">
        <v>75</v>
      </c>
      <c r="N52">
        <v>2.5</v>
      </c>
      <c r="P52" t="s">
        <v>75</v>
      </c>
      <c r="Q52">
        <v>3.59</v>
      </c>
      <c r="S52" t="s">
        <v>75</v>
      </c>
      <c r="T52">
        <v>3.59</v>
      </c>
      <c r="V52" t="s">
        <v>75</v>
      </c>
      <c r="W52">
        <v>3.59</v>
      </c>
      <c r="Y52" t="s">
        <v>75</v>
      </c>
      <c r="Z52">
        <v>3.59</v>
      </c>
      <c r="AB52" t="s">
        <v>75</v>
      </c>
      <c r="AC52">
        <v>3.22</v>
      </c>
      <c r="AE52" t="s">
        <v>75</v>
      </c>
      <c r="AF52">
        <v>3.22</v>
      </c>
      <c r="AH52" t="s">
        <v>75</v>
      </c>
      <c r="AI52">
        <v>3.22</v>
      </c>
      <c r="AK52" t="s">
        <v>75</v>
      </c>
      <c r="AL52">
        <v>3.22</v>
      </c>
      <c r="AN52" t="s">
        <v>75</v>
      </c>
      <c r="AO52">
        <v>3.22</v>
      </c>
      <c r="AQ52" t="s">
        <v>75</v>
      </c>
      <c r="AR52">
        <v>3.22</v>
      </c>
    </row>
    <row r="53" spans="4:44" x14ac:dyDescent="0.25">
      <c r="D53" t="s">
        <v>76</v>
      </c>
      <c r="E53">
        <v>1.07</v>
      </c>
      <c r="G53" t="s">
        <v>76</v>
      </c>
      <c r="H53">
        <v>1.07</v>
      </c>
      <c r="J53" t="s">
        <v>76</v>
      </c>
      <c r="K53">
        <v>1.07</v>
      </c>
      <c r="M53" t="s">
        <v>76</v>
      </c>
      <c r="N53">
        <v>1.07</v>
      </c>
      <c r="P53" t="s">
        <v>76</v>
      </c>
      <c r="Q53">
        <v>1.4</v>
      </c>
      <c r="S53" t="s">
        <v>76</v>
      </c>
      <c r="T53">
        <v>1.4</v>
      </c>
      <c r="V53" t="s">
        <v>76</v>
      </c>
      <c r="W53">
        <v>1.4</v>
      </c>
      <c r="Y53" t="s">
        <v>76</v>
      </c>
      <c r="Z53">
        <v>1.4</v>
      </c>
      <c r="AB53" t="s">
        <v>76</v>
      </c>
      <c r="AC53">
        <v>1.28</v>
      </c>
      <c r="AE53" t="s">
        <v>76</v>
      </c>
      <c r="AF53">
        <v>1.28</v>
      </c>
      <c r="AH53" t="s">
        <v>76</v>
      </c>
      <c r="AI53">
        <v>1.28</v>
      </c>
      <c r="AK53" t="s">
        <v>76</v>
      </c>
      <c r="AL53">
        <v>1.28</v>
      </c>
      <c r="AN53" t="s">
        <v>76</v>
      </c>
      <c r="AO53">
        <v>1.28</v>
      </c>
      <c r="AQ53" t="s">
        <v>76</v>
      </c>
      <c r="AR53">
        <v>1.28</v>
      </c>
    </row>
    <row r="54" spans="4:44" x14ac:dyDescent="0.25">
      <c r="D54" t="s">
        <v>77</v>
      </c>
      <c r="E54">
        <v>0.11</v>
      </c>
      <c r="G54" t="s">
        <v>77</v>
      </c>
      <c r="H54">
        <v>0.11</v>
      </c>
      <c r="J54" t="s">
        <v>77</v>
      </c>
      <c r="K54">
        <v>0.11</v>
      </c>
      <c r="M54" t="s">
        <v>77</v>
      </c>
      <c r="N54">
        <v>0.11</v>
      </c>
      <c r="P54" t="s">
        <v>77</v>
      </c>
      <c r="Q54">
        <v>0.16</v>
      </c>
      <c r="S54" t="s">
        <v>77</v>
      </c>
      <c r="T54">
        <v>0.16</v>
      </c>
      <c r="V54" t="s">
        <v>77</v>
      </c>
      <c r="W54">
        <v>0.16</v>
      </c>
      <c r="Y54" t="s">
        <v>77</v>
      </c>
      <c r="Z54">
        <v>0.16</v>
      </c>
      <c r="AB54" t="s">
        <v>77</v>
      </c>
      <c r="AC54">
        <v>0.15</v>
      </c>
      <c r="AE54" t="s">
        <v>77</v>
      </c>
      <c r="AF54">
        <v>0.15</v>
      </c>
      <c r="AH54" t="s">
        <v>77</v>
      </c>
      <c r="AI54">
        <v>0.15</v>
      </c>
      <c r="AK54" t="s">
        <v>77</v>
      </c>
      <c r="AL54">
        <v>0.15</v>
      </c>
      <c r="AN54" t="s">
        <v>77</v>
      </c>
      <c r="AO54">
        <v>0.15</v>
      </c>
      <c r="AQ54" t="s">
        <v>77</v>
      </c>
      <c r="AR54">
        <v>0.15</v>
      </c>
    </row>
    <row r="55" spans="4:44" x14ac:dyDescent="0.25">
      <c r="D55" t="s">
        <v>78</v>
      </c>
      <c r="E55">
        <v>0.11</v>
      </c>
      <c r="G55" t="s">
        <v>78</v>
      </c>
      <c r="H55">
        <v>0.11</v>
      </c>
      <c r="J55" t="s">
        <v>78</v>
      </c>
      <c r="K55">
        <v>0.11</v>
      </c>
      <c r="M55" t="s">
        <v>78</v>
      </c>
      <c r="N55">
        <v>0.11</v>
      </c>
      <c r="P55" t="s">
        <v>78</v>
      </c>
      <c r="Q55">
        <v>0.16</v>
      </c>
      <c r="S55" t="s">
        <v>78</v>
      </c>
      <c r="T55">
        <v>0.16</v>
      </c>
      <c r="V55" t="s">
        <v>78</v>
      </c>
      <c r="W55">
        <v>0.16</v>
      </c>
      <c r="Y55" t="s">
        <v>78</v>
      </c>
      <c r="Z55">
        <v>0.16</v>
      </c>
      <c r="AB55" t="s">
        <v>78</v>
      </c>
      <c r="AC55">
        <v>0.15</v>
      </c>
      <c r="AE55" t="s">
        <v>78</v>
      </c>
      <c r="AF55">
        <v>0.15</v>
      </c>
      <c r="AH55" t="s">
        <v>78</v>
      </c>
      <c r="AI55">
        <v>0.15</v>
      </c>
      <c r="AK55" t="s">
        <v>78</v>
      </c>
      <c r="AL55">
        <v>0.15</v>
      </c>
      <c r="AN55" t="s">
        <v>78</v>
      </c>
      <c r="AO55">
        <v>0.15</v>
      </c>
      <c r="AQ55" t="s">
        <v>78</v>
      </c>
      <c r="AR55">
        <v>0.15</v>
      </c>
    </row>
    <row r="56" spans="4:44" x14ac:dyDescent="0.25">
      <c r="D56" t="s">
        <v>79</v>
      </c>
      <c r="E56">
        <v>0.28000000000000003</v>
      </c>
      <c r="G56" t="s">
        <v>79</v>
      </c>
      <c r="H56">
        <v>0.28000000000000003</v>
      </c>
      <c r="J56" t="s">
        <v>79</v>
      </c>
      <c r="K56">
        <v>0.28000000000000003</v>
      </c>
      <c r="M56" t="s">
        <v>79</v>
      </c>
      <c r="N56">
        <v>0.28000000000000003</v>
      </c>
      <c r="P56" t="s">
        <v>79</v>
      </c>
      <c r="Q56">
        <v>0.21</v>
      </c>
      <c r="S56" t="s">
        <v>79</v>
      </c>
      <c r="T56">
        <v>0.21</v>
      </c>
      <c r="V56" t="s">
        <v>79</v>
      </c>
      <c r="W56">
        <v>0.21</v>
      </c>
      <c r="Y56" t="s">
        <v>79</v>
      </c>
      <c r="Z56">
        <v>0.21</v>
      </c>
      <c r="AB56" t="s">
        <v>79</v>
      </c>
      <c r="AC56">
        <v>0.22</v>
      </c>
      <c r="AE56" t="s">
        <v>79</v>
      </c>
      <c r="AF56">
        <v>0.22</v>
      </c>
      <c r="AH56" t="s">
        <v>79</v>
      </c>
      <c r="AI56">
        <v>0.22</v>
      </c>
      <c r="AK56" t="s">
        <v>79</v>
      </c>
      <c r="AL56">
        <v>0.22</v>
      </c>
      <c r="AN56" t="s">
        <v>79</v>
      </c>
      <c r="AO56">
        <v>0.22</v>
      </c>
      <c r="AQ56" t="s">
        <v>79</v>
      </c>
      <c r="AR56">
        <v>0.22</v>
      </c>
    </row>
    <row r="57" spans="4:44" x14ac:dyDescent="0.25">
      <c r="D57" t="s">
        <v>80</v>
      </c>
      <c r="E57">
        <v>0.28000000000000003</v>
      </c>
      <c r="G57" t="s">
        <v>80</v>
      </c>
      <c r="H57">
        <v>0.28000000000000003</v>
      </c>
      <c r="J57" t="s">
        <v>80</v>
      </c>
      <c r="K57">
        <v>0.28000000000000003</v>
      </c>
      <c r="M57" t="s">
        <v>80</v>
      </c>
      <c r="N57">
        <v>0.28000000000000003</v>
      </c>
      <c r="P57" t="s">
        <v>80</v>
      </c>
      <c r="Q57">
        <v>0.21</v>
      </c>
      <c r="S57" t="s">
        <v>80</v>
      </c>
      <c r="T57">
        <v>0.21</v>
      </c>
      <c r="V57" t="s">
        <v>80</v>
      </c>
      <c r="W57">
        <v>0.21</v>
      </c>
      <c r="Y57" t="s">
        <v>80</v>
      </c>
      <c r="Z57">
        <v>0.21</v>
      </c>
      <c r="AB57" t="s">
        <v>80</v>
      </c>
      <c r="AC57">
        <v>0.22</v>
      </c>
      <c r="AE57" t="s">
        <v>80</v>
      </c>
      <c r="AF57">
        <v>0.22</v>
      </c>
      <c r="AH57" t="s">
        <v>80</v>
      </c>
      <c r="AI57">
        <v>0.22</v>
      </c>
      <c r="AK57" t="s">
        <v>80</v>
      </c>
      <c r="AL57">
        <v>0.22</v>
      </c>
      <c r="AN57" t="s">
        <v>80</v>
      </c>
      <c r="AO57">
        <v>0.22</v>
      </c>
      <c r="AQ57" t="s">
        <v>80</v>
      </c>
      <c r="AR57">
        <v>0.22</v>
      </c>
    </row>
    <row r="58" spans="4:44" x14ac:dyDescent="0.25">
      <c r="D58" t="s">
        <v>81</v>
      </c>
      <c r="E58">
        <v>737.57</v>
      </c>
      <c r="G58" t="s">
        <v>81</v>
      </c>
      <c r="H58">
        <v>737.57</v>
      </c>
      <c r="J58" t="s">
        <v>81</v>
      </c>
      <c r="K58">
        <v>680.02</v>
      </c>
      <c r="M58" t="s">
        <v>81</v>
      </c>
      <c r="N58">
        <v>680.02</v>
      </c>
      <c r="P58" t="s">
        <v>81</v>
      </c>
      <c r="Q58">
        <v>721.57</v>
      </c>
      <c r="S58" t="s">
        <v>81</v>
      </c>
      <c r="T58">
        <v>680.55</v>
      </c>
      <c r="V58" t="s">
        <v>81</v>
      </c>
      <c r="W58">
        <v>653.53</v>
      </c>
      <c r="Y58" t="s">
        <v>81</v>
      </c>
      <c r="Z58">
        <v>625.66</v>
      </c>
      <c r="AB58" t="s">
        <v>81</v>
      </c>
      <c r="AC58">
        <v>726.18</v>
      </c>
      <c r="AE58" t="s">
        <v>81</v>
      </c>
      <c r="AF58">
        <v>684.34</v>
      </c>
      <c r="AH58" t="s">
        <v>81</v>
      </c>
      <c r="AI58">
        <v>652.55999999999995</v>
      </c>
      <c r="AK58" t="s">
        <v>81</v>
      </c>
      <c r="AL58">
        <v>625.74</v>
      </c>
      <c r="AN58" t="s">
        <v>81</v>
      </c>
      <c r="AO58">
        <v>711.39</v>
      </c>
      <c r="AQ58" t="s">
        <v>81</v>
      </c>
      <c r="AR58">
        <v>808.03</v>
      </c>
    </row>
    <row r="59" spans="4:44" x14ac:dyDescent="0.25">
      <c r="D59" t="s">
        <v>82</v>
      </c>
      <c r="E59">
        <v>0.61</v>
      </c>
      <c r="G59" t="s">
        <v>82</v>
      </c>
      <c r="H59">
        <v>0.61</v>
      </c>
      <c r="J59" t="s">
        <v>82</v>
      </c>
      <c r="K59">
        <v>0.61</v>
      </c>
      <c r="M59" t="s">
        <v>82</v>
      </c>
      <c r="N59">
        <v>0.61</v>
      </c>
      <c r="P59" t="s">
        <v>82</v>
      </c>
      <c r="Q59">
        <v>0.85</v>
      </c>
      <c r="S59" t="s">
        <v>82</v>
      </c>
      <c r="T59">
        <v>0.85</v>
      </c>
      <c r="V59" t="s">
        <v>82</v>
      </c>
      <c r="W59">
        <v>0.85</v>
      </c>
      <c r="Y59" t="s">
        <v>82</v>
      </c>
      <c r="Z59">
        <v>0.85</v>
      </c>
      <c r="AB59" t="s">
        <v>82</v>
      </c>
      <c r="AC59">
        <v>0.75</v>
      </c>
      <c r="AE59" t="s">
        <v>82</v>
      </c>
      <c r="AF59">
        <v>0.75</v>
      </c>
      <c r="AH59" t="s">
        <v>82</v>
      </c>
      <c r="AI59">
        <v>0.75</v>
      </c>
      <c r="AK59" t="s">
        <v>82</v>
      </c>
      <c r="AL59">
        <v>0.75</v>
      </c>
      <c r="AN59" t="s">
        <v>82</v>
      </c>
      <c r="AO59">
        <v>0.75</v>
      </c>
      <c r="AQ59" t="s">
        <v>82</v>
      </c>
      <c r="AR59">
        <v>0.75</v>
      </c>
    </row>
    <row r="60" spans="4:44" x14ac:dyDescent="0.25">
      <c r="D60" t="s">
        <v>83</v>
      </c>
      <c r="E60">
        <v>0.12</v>
      </c>
      <c r="G60" t="s">
        <v>83</v>
      </c>
      <c r="H60">
        <v>0.12</v>
      </c>
      <c r="J60" t="s">
        <v>83</v>
      </c>
      <c r="K60">
        <v>0.12</v>
      </c>
      <c r="M60" t="s">
        <v>83</v>
      </c>
      <c r="N60">
        <v>0.12</v>
      </c>
      <c r="P60" t="s">
        <v>83</v>
      </c>
      <c r="Q60">
        <v>0.16</v>
      </c>
      <c r="S60" t="s">
        <v>83</v>
      </c>
      <c r="T60">
        <v>0.16</v>
      </c>
      <c r="V60" t="s">
        <v>83</v>
      </c>
      <c r="W60">
        <v>0.16</v>
      </c>
      <c r="Y60" t="s">
        <v>83</v>
      </c>
      <c r="Z60">
        <v>0.16</v>
      </c>
      <c r="AB60" t="s">
        <v>83</v>
      </c>
      <c r="AC60">
        <v>0.15</v>
      </c>
      <c r="AE60" t="s">
        <v>83</v>
      </c>
      <c r="AF60">
        <v>0.15</v>
      </c>
      <c r="AH60" t="s">
        <v>83</v>
      </c>
      <c r="AI60">
        <v>0.15</v>
      </c>
      <c r="AK60" t="s">
        <v>83</v>
      </c>
      <c r="AL60">
        <v>0.15</v>
      </c>
      <c r="AN60" t="s">
        <v>83</v>
      </c>
      <c r="AO60">
        <v>0.15</v>
      </c>
      <c r="AQ60" t="s">
        <v>83</v>
      </c>
      <c r="AR60">
        <v>0.15</v>
      </c>
    </row>
    <row r="61" spans="4:44" x14ac:dyDescent="0.25">
      <c r="D61" t="s">
        <v>84</v>
      </c>
      <c r="E61">
        <v>0.18</v>
      </c>
      <c r="G61" t="s">
        <v>84</v>
      </c>
      <c r="H61">
        <v>0.18</v>
      </c>
      <c r="J61" t="s">
        <v>84</v>
      </c>
      <c r="K61">
        <v>0.18</v>
      </c>
      <c r="M61" t="s">
        <v>84</v>
      </c>
      <c r="N61">
        <v>0.18</v>
      </c>
      <c r="P61" t="s">
        <v>84</v>
      </c>
      <c r="Q61">
        <v>0.25</v>
      </c>
      <c r="S61" t="s">
        <v>84</v>
      </c>
      <c r="T61">
        <v>0.25</v>
      </c>
      <c r="V61" t="s">
        <v>84</v>
      </c>
      <c r="W61">
        <v>0.25</v>
      </c>
      <c r="Y61" t="s">
        <v>84</v>
      </c>
      <c r="Z61">
        <v>0.25</v>
      </c>
      <c r="AB61" t="s">
        <v>84</v>
      </c>
      <c r="AC61">
        <v>0.22</v>
      </c>
      <c r="AE61" t="s">
        <v>84</v>
      </c>
      <c r="AF61">
        <v>0.22</v>
      </c>
      <c r="AH61" t="s">
        <v>84</v>
      </c>
      <c r="AI61">
        <v>0.22</v>
      </c>
      <c r="AK61" t="s">
        <v>84</v>
      </c>
      <c r="AL61">
        <v>0.22</v>
      </c>
      <c r="AN61" t="s">
        <v>84</v>
      </c>
      <c r="AO61">
        <v>0.22</v>
      </c>
      <c r="AQ61" t="s">
        <v>84</v>
      </c>
      <c r="AR61">
        <v>0.22</v>
      </c>
    </row>
    <row r="62" spans="4:44" x14ac:dyDescent="0.25">
      <c r="D62" t="s">
        <v>365</v>
      </c>
      <c r="E62">
        <v>0</v>
      </c>
      <c r="G62" t="s">
        <v>365</v>
      </c>
      <c r="H62">
        <v>0</v>
      </c>
      <c r="J62" t="s">
        <v>365</v>
      </c>
      <c r="K62">
        <v>0</v>
      </c>
      <c r="M62" t="s">
        <v>365</v>
      </c>
      <c r="N62">
        <v>0</v>
      </c>
      <c r="P62" t="s">
        <v>365</v>
      </c>
      <c r="Q62">
        <v>0</v>
      </c>
      <c r="S62" t="s">
        <v>365</v>
      </c>
      <c r="T62">
        <v>0</v>
      </c>
      <c r="V62" t="s">
        <v>365</v>
      </c>
      <c r="W62">
        <v>0</v>
      </c>
      <c r="Y62" t="s">
        <v>365</v>
      </c>
      <c r="Z62">
        <v>0</v>
      </c>
      <c r="AB62" t="s">
        <v>365</v>
      </c>
      <c r="AC62">
        <v>0</v>
      </c>
      <c r="AE62" t="s">
        <v>365</v>
      </c>
      <c r="AF62">
        <v>0</v>
      </c>
      <c r="AH62" t="s">
        <v>365</v>
      </c>
      <c r="AI62">
        <v>0</v>
      </c>
      <c r="AK62" t="s">
        <v>365</v>
      </c>
      <c r="AL62">
        <v>0</v>
      </c>
      <c r="AN62" t="s">
        <v>365</v>
      </c>
      <c r="AO62">
        <v>0</v>
      </c>
      <c r="AQ62" t="s">
        <v>365</v>
      </c>
      <c r="AR62">
        <v>0</v>
      </c>
    </row>
    <row r="63" spans="4:44" x14ac:dyDescent="0.25">
      <c r="D63" t="s">
        <v>328</v>
      </c>
      <c r="E63">
        <v>23.2</v>
      </c>
      <c r="G63" t="s">
        <v>328</v>
      </c>
      <c r="H63">
        <v>23.2</v>
      </c>
      <c r="J63" t="s">
        <v>328</v>
      </c>
      <c r="K63">
        <v>23.2</v>
      </c>
      <c r="M63" t="s">
        <v>328</v>
      </c>
      <c r="N63">
        <v>23.2</v>
      </c>
      <c r="P63" t="s">
        <v>328</v>
      </c>
      <c r="Q63">
        <v>26.76</v>
      </c>
      <c r="S63" t="s">
        <v>328</v>
      </c>
      <c r="T63">
        <v>26.76</v>
      </c>
      <c r="V63" t="s">
        <v>328</v>
      </c>
      <c r="W63">
        <v>26.76</v>
      </c>
      <c r="Y63" t="s">
        <v>328</v>
      </c>
      <c r="Z63">
        <v>26.76</v>
      </c>
      <c r="AB63" t="s">
        <v>328</v>
      </c>
      <c r="AC63">
        <v>28.29</v>
      </c>
      <c r="AE63" t="s">
        <v>328</v>
      </c>
      <c r="AF63">
        <v>28.29</v>
      </c>
      <c r="AH63" t="s">
        <v>328</v>
      </c>
      <c r="AI63">
        <v>28.29</v>
      </c>
      <c r="AK63" t="s">
        <v>328</v>
      </c>
      <c r="AL63">
        <v>28.29</v>
      </c>
      <c r="AN63" t="s">
        <v>328</v>
      </c>
      <c r="AO63">
        <v>28.29</v>
      </c>
      <c r="AQ63" t="s">
        <v>328</v>
      </c>
      <c r="AR63">
        <v>28.29</v>
      </c>
    </row>
    <row r="64" spans="4:44" x14ac:dyDescent="0.25">
      <c r="D64" t="s">
        <v>85</v>
      </c>
      <c r="E64">
        <v>0.45</v>
      </c>
      <c r="G64" t="s">
        <v>85</v>
      </c>
      <c r="H64">
        <v>0.45</v>
      </c>
      <c r="J64" t="s">
        <v>85</v>
      </c>
      <c r="K64">
        <v>0.45</v>
      </c>
      <c r="M64" t="s">
        <v>85</v>
      </c>
      <c r="N64">
        <v>0.45</v>
      </c>
      <c r="P64" t="s">
        <v>85</v>
      </c>
      <c r="Q64">
        <v>0.66</v>
      </c>
      <c r="S64" t="s">
        <v>85</v>
      </c>
      <c r="T64">
        <v>0.66</v>
      </c>
      <c r="V64" t="s">
        <v>85</v>
      </c>
      <c r="W64">
        <v>0.66</v>
      </c>
      <c r="Y64" t="s">
        <v>85</v>
      </c>
      <c r="Z64">
        <v>0.66</v>
      </c>
      <c r="AB64" t="s">
        <v>85</v>
      </c>
      <c r="AC64">
        <v>0.59</v>
      </c>
      <c r="AE64" t="s">
        <v>85</v>
      </c>
      <c r="AF64">
        <v>0.59</v>
      </c>
      <c r="AH64" t="s">
        <v>85</v>
      </c>
      <c r="AI64">
        <v>0.59</v>
      </c>
      <c r="AK64" t="s">
        <v>85</v>
      </c>
      <c r="AL64">
        <v>0.59</v>
      </c>
      <c r="AN64" t="s">
        <v>85</v>
      </c>
      <c r="AO64">
        <v>0.59</v>
      </c>
      <c r="AQ64" t="s">
        <v>85</v>
      </c>
      <c r="AR64">
        <v>0.59</v>
      </c>
    </row>
    <row r="65" spans="4:44" x14ac:dyDescent="0.25">
      <c r="D65" t="s">
        <v>86</v>
      </c>
      <c r="E65">
        <v>0.74</v>
      </c>
      <c r="G65" t="s">
        <v>86</v>
      </c>
      <c r="H65">
        <v>0.74</v>
      </c>
      <c r="J65" t="s">
        <v>86</v>
      </c>
      <c r="K65">
        <v>0.74</v>
      </c>
      <c r="M65" t="s">
        <v>86</v>
      </c>
      <c r="N65">
        <v>0.74</v>
      </c>
      <c r="P65" t="s">
        <v>86</v>
      </c>
      <c r="Q65">
        <v>1.03</v>
      </c>
      <c r="S65" t="s">
        <v>86</v>
      </c>
      <c r="T65">
        <v>1.03</v>
      </c>
      <c r="V65" t="s">
        <v>86</v>
      </c>
      <c r="W65">
        <v>1.03</v>
      </c>
      <c r="Y65" t="s">
        <v>86</v>
      </c>
      <c r="Z65">
        <v>1.03</v>
      </c>
      <c r="AB65" t="s">
        <v>86</v>
      </c>
      <c r="AC65">
        <v>0.91</v>
      </c>
      <c r="AE65" t="s">
        <v>86</v>
      </c>
      <c r="AF65">
        <v>0.91</v>
      </c>
      <c r="AH65" t="s">
        <v>86</v>
      </c>
      <c r="AI65">
        <v>0.91</v>
      </c>
      <c r="AK65" t="s">
        <v>86</v>
      </c>
      <c r="AL65">
        <v>0.91</v>
      </c>
      <c r="AN65" t="s">
        <v>86</v>
      </c>
      <c r="AO65">
        <v>0.91</v>
      </c>
      <c r="AQ65" t="s">
        <v>86</v>
      </c>
      <c r="AR65">
        <v>0.91</v>
      </c>
    </row>
    <row r="66" spans="4:44" x14ac:dyDescent="0.25">
      <c r="D66" t="s">
        <v>87</v>
      </c>
      <c r="E66">
        <v>0.74</v>
      </c>
      <c r="G66" t="s">
        <v>87</v>
      </c>
      <c r="H66">
        <v>0.74</v>
      </c>
      <c r="J66" t="s">
        <v>87</v>
      </c>
      <c r="K66">
        <v>0.74</v>
      </c>
      <c r="M66" t="s">
        <v>87</v>
      </c>
      <c r="N66">
        <v>0.74</v>
      </c>
      <c r="P66" t="s">
        <v>87</v>
      </c>
      <c r="Q66">
        <v>1.03</v>
      </c>
      <c r="S66" t="s">
        <v>87</v>
      </c>
      <c r="T66">
        <v>1.03</v>
      </c>
      <c r="V66" t="s">
        <v>87</v>
      </c>
      <c r="W66">
        <v>1.03</v>
      </c>
      <c r="Y66" t="s">
        <v>87</v>
      </c>
      <c r="Z66">
        <v>1.03</v>
      </c>
      <c r="AB66" t="s">
        <v>87</v>
      </c>
      <c r="AC66">
        <v>0.91</v>
      </c>
      <c r="AE66" t="s">
        <v>87</v>
      </c>
      <c r="AF66">
        <v>0.91</v>
      </c>
      <c r="AH66" t="s">
        <v>87</v>
      </c>
      <c r="AI66">
        <v>0.91</v>
      </c>
      <c r="AK66" t="s">
        <v>87</v>
      </c>
      <c r="AL66">
        <v>0.91</v>
      </c>
      <c r="AN66" t="s">
        <v>87</v>
      </c>
      <c r="AO66">
        <v>0.91</v>
      </c>
      <c r="AQ66" t="s">
        <v>87</v>
      </c>
      <c r="AR66">
        <v>0.91</v>
      </c>
    </row>
    <row r="67" spans="4:44" x14ac:dyDescent="0.25">
      <c r="D67" t="s">
        <v>88</v>
      </c>
      <c r="E67">
        <v>0.28000000000000003</v>
      </c>
      <c r="G67" t="s">
        <v>88</v>
      </c>
      <c r="H67">
        <v>0.28000000000000003</v>
      </c>
      <c r="J67" t="s">
        <v>88</v>
      </c>
      <c r="K67">
        <v>0.28000000000000003</v>
      </c>
      <c r="M67" t="s">
        <v>88</v>
      </c>
      <c r="N67">
        <v>0.28000000000000003</v>
      </c>
      <c r="P67" t="s">
        <v>88</v>
      </c>
      <c r="Q67">
        <v>0.21</v>
      </c>
      <c r="S67" t="s">
        <v>88</v>
      </c>
      <c r="T67">
        <v>0.21</v>
      </c>
      <c r="V67" t="s">
        <v>88</v>
      </c>
      <c r="W67">
        <v>0.21</v>
      </c>
      <c r="Y67" t="s">
        <v>88</v>
      </c>
      <c r="Z67">
        <v>0.21</v>
      </c>
      <c r="AB67" t="s">
        <v>88</v>
      </c>
      <c r="AC67">
        <v>0.22</v>
      </c>
      <c r="AE67" t="s">
        <v>88</v>
      </c>
      <c r="AF67">
        <v>0.22</v>
      </c>
      <c r="AH67" t="s">
        <v>88</v>
      </c>
      <c r="AI67">
        <v>0.22</v>
      </c>
      <c r="AK67" t="s">
        <v>88</v>
      </c>
      <c r="AL67">
        <v>0.22</v>
      </c>
      <c r="AN67" t="s">
        <v>88</v>
      </c>
      <c r="AO67">
        <v>0.22</v>
      </c>
      <c r="AQ67" t="s">
        <v>88</v>
      </c>
      <c r="AR67">
        <v>0.22</v>
      </c>
    </row>
    <row r="68" spans="4:44" x14ac:dyDescent="0.25">
      <c r="D68" t="s">
        <v>89</v>
      </c>
      <c r="E68">
        <v>0.61</v>
      </c>
      <c r="G68" t="s">
        <v>89</v>
      </c>
      <c r="H68">
        <v>0.61</v>
      </c>
      <c r="J68" t="s">
        <v>89</v>
      </c>
      <c r="K68">
        <v>0.61</v>
      </c>
      <c r="M68" t="s">
        <v>89</v>
      </c>
      <c r="N68">
        <v>0.61</v>
      </c>
      <c r="P68" t="s">
        <v>89</v>
      </c>
      <c r="Q68">
        <v>0.85</v>
      </c>
      <c r="S68" t="s">
        <v>89</v>
      </c>
      <c r="T68">
        <v>0.85</v>
      </c>
      <c r="V68" t="s">
        <v>89</v>
      </c>
      <c r="W68">
        <v>0.85</v>
      </c>
      <c r="Y68" t="s">
        <v>89</v>
      </c>
      <c r="Z68">
        <v>0.85</v>
      </c>
      <c r="AB68" t="s">
        <v>89</v>
      </c>
      <c r="AC68">
        <v>0.75</v>
      </c>
      <c r="AE68" t="s">
        <v>89</v>
      </c>
      <c r="AF68">
        <v>0.75</v>
      </c>
      <c r="AH68" t="s">
        <v>89</v>
      </c>
      <c r="AI68">
        <v>0.75</v>
      </c>
      <c r="AK68" t="s">
        <v>89</v>
      </c>
      <c r="AL68">
        <v>0.75</v>
      </c>
      <c r="AN68" t="s">
        <v>89</v>
      </c>
      <c r="AO68">
        <v>0.75</v>
      </c>
      <c r="AQ68" t="s">
        <v>89</v>
      </c>
      <c r="AR68">
        <v>0.75</v>
      </c>
    </row>
    <row r="69" spans="4:44" x14ac:dyDescent="0.25">
      <c r="D69" t="s">
        <v>90</v>
      </c>
      <c r="E69">
        <v>121.86</v>
      </c>
      <c r="G69" t="s">
        <v>90</v>
      </c>
      <c r="H69">
        <v>174.85</v>
      </c>
      <c r="J69" t="s">
        <v>90</v>
      </c>
      <c r="K69">
        <v>157.49</v>
      </c>
      <c r="M69" t="s">
        <v>90</v>
      </c>
      <c r="N69">
        <v>212.19</v>
      </c>
      <c r="P69" t="s">
        <v>90</v>
      </c>
      <c r="Q69">
        <v>0</v>
      </c>
      <c r="S69" t="s">
        <v>90</v>
      </c>
      <c r="T69">
        <v>0</v>
      </c>
      <c r="V69" t="s">
        <v>90</v>
      </c>
      <c r="W69">
        <v>0</v>
      </c>
      <c r="Y69" t="s">
        <v>90</v>
      </c>
      <c r="Z69">
        <v>5.07</v>
      </c>
      <c r="AB69" t="s">
        <v>90</v>
      </c>
      <c r="AC69">
        <v>0</v>
      </c>
      <c r="AE69" t="s">
        <v>90</v>
      </c>
      <c r="AF69">
        <v>0</v>
      </c>
      <c r="AH69" t="s">
        <v>90</v>
      </c>
      <c r="AI69">
        <v>0</v>
      </c>
      <c r="AK69" t="s">
        <v>90</v>
      </c>
      <c r="AL69">
        <v>8.99</v>
      </c>
      <c r="AN69" t="s">
        <v>90</v>
      </c>
      <c r="AO69">
        <v>0</v>
      </c>
      <c r="AQ69" t="s">
        <v>90</v>
      </c>
      <c r="AR69">
        <v>125.13</v>
      </c>
    </row>
    <row r="70" spans="4:44" x14ac:dyDescent="0.25">
      <c r="D70" t="s">
        <v>329</v>
      </c>
      <c r="E70">
        <v>23.2</v>
      </c>
      <c r="G70" t="s">
        <v>329</v>
      </c>
      <c r="H70">
        <v>23.2</v>
      </c>
      <c r="J70" t="s">
        <v>329</v>
      </c>
      <c r="K70">
        <v>23.2</v>
      </c>
      <c r="M70" t="s">
        <v>329</v>
      </c>
      <c r="N70">
        <v>23.2</v>
      </c>
      <c r="P70" t="s">
        <v>329</v>
      </c>
      <c r="Q70">
        <v>26.76</v>
      </c>
      <c r="S70" t="s">
        <v>329</v>
      </c>
      <c r="T70">
        <v>26.76</v>
      </c>
      <c r="V70" t="s">
        <v>329</v>
      </c>
      <c r="W70">
        <v>26.76</v>
      </c>
      <c r="Y70" t="s">
        <v>329</v>
      </c>
      <c r="Z70">
        <v>26.76</v>
      </c>
      <c r="AB70" t="s">
        <v>329</v>
      </c>
      <c r="AC70">
        <v>28.29</v>
      </c>
      <c r="AE70" t="s">
        <v>329</v>
      </c>
      <c r="AF70">
        <v>28.29</v>
      </c>
      <c r="AH70" t="s">
        <v>329</v>
      </c>
      <c r="AI70">
        <v>28.29</v>
      </c>
      <c r="AK70" t="s">
        <v>329</v>
      </c>
      <c r="AL70">
        <v>28.29</v>
      </c>
      <c r="AN70" t="s">
        <v>329</v>
      </c>
      <c r="AO70">
        <v>28.29</v>
      </c>
      <c r="AQ70" t="s">
        <v>329</v>
      </c>
      <c r="AR70">
        <v>28.29</v>
      </c>
    </row>
    <row r="71" spans="4:44" x14ac:dyDescent="0.25">
      <c r="D71" t="s">
        <v>91</v>
      </c>
      <c r="E71">
        <v>0.23</v>
      </c>
      <c r="G71" t="s">
        <v>91</v>
      </c>
      <c r="H71">
        <v>0.23</v>
      </c>
      <c r="J71" t="s">
        <v>91</v>
      </c>
      <c r="K71">
        <v>0.23</v>
      </c>
      <c r="M71" t="s">
        <v>91</v>
      </c>
      <c r="N71">
        <v>0.23</v>
      </c>
      <c r="P71" t="s">
        <v>91</v>
      </c>
      <c r="Q71">
        <v>0.17</v>
      </c>
      <c r="S71" t="s">
        <v>91</v>
      </c>
      <c r="T71">
        <v>0.17</v>
      </c>
      <c r="V71" t="s">
        <v>91</v>
      </c>
      <c r="W71">
        <v>0.17</v>
      </c>
      <c r="Y71" t="s">
        <v>91</v>
      </c>
      <c r="Z71">
        <v>0.17</v>
      </c>
      <c r="AB71" t="s">
        <v>91</v>
      </c>
      <c r="AC71">
        <v>0.18</v>
      </c>
      <c r="AE71" t="s">
        <v>91</v>
      </c>
      <c r="AF71">
        <v>0.18</v>
      </c>
      <c r="AH71" t="s">
        <v>91</v>
      </c>
      <c r="AI71">
        <v>0.18</v>
      </c>
      <c r="AK71" t="s">
        <v>91</v>
      </c>
      <c r="AL71">
        <v>0.18</v>
      </c>
      <c r="AN71" t="s">
        <v>91</v>
      </c>
      <c r="AO71">
        <v>0.18</v>
      </c>
      <c r="AQ71" t="s">
        <v>91</v>
      </c>
      <c r="AR71">
        <v>0.18</v>
      </c>
    </row>
    <row r="72" spans="4:44" x14ac:dyDescent="0.25">
      <c r="D72" t="s">
        <v>92</v>
      </c>
      <c r="E72">
        <v>0.33</v>
      </c>
      <c r="G72" t="s">
        <v>92</v>
      </c>
      <c r="H72">
        <v>0.33</v>
      </c>
      <c r="J72" t="s">
        <v>92</v>
      </c>
      <c r="K72">
        <v>0.33</v>
      </c>
      <c r="M72" t="s">
        <v>92</v>
      </c>
      <c r="N72">
        <v>0.33</v>
      </c>
      <c r="P72" t="s">
        <v>92</v>
      </c>
      <c r="Q72">
        <v>0.32</v>
      </c>
      <c r="S72" t="s">
        <v>92</v>
      </c>
      <c r="T72">
        <v>0.32</v>
      </c>
      <c r="V72" t="s">
        <v>92</v>
      </c>
      <c r="W72">
        <v>0.32</v>
      </c>
      <c r="Y72" t="s">
        <v>92</v>
      </c>
      <c r="Z72">
        <v>0.32</v>
      </c>
      <c r="AB72" t="s">
        <v>92</v>
      </c>
      <c r="AC72">
        <v>0.31</v>
      </c>
      <c r="AE72" t="s">
        <v>92</v>
      </c>
      <c r="AF72">
        <v>0.31</v>
      </c>
      <c r="AH72" t="s">
        <v>92</v>
      </c>
      <c r="AI72">
        <v>0.31</v>
      </c>
      <c r="AK72" t="s">
        <v>92</v>
      </c>
      <c r="AL72">
        <v>0.31</v>
      </c>
      <c r="AN72" t="s">
        <v>92</v>
      </c>
      <c r="AO72">
        <v>0.31</v>
      </c>
      <c r="AQ72" t="s">
        <v>92</v>
      </c>
      <c r="AR72">
        <v>0.31</v>
      </c>
    </row>
    <row r="73" spans="4:44" x14ac:dyDescent="0.25">
      <c r="D73" t="s">
        <v>93</v>
      </c>
      <c r="E73">
        <v>-0.72</v>
      </c>
      <c r="G73" t="s">
        <v>93</v>
      </c>
      <c r="H73">
        <v>-0.72</v>
      </c>
      <c r="J73" t="s">
        <v>93</v>
      </c>
      <c r="K73">
        <v>-0.72</v>
      </c>
      <c r="M73" t="s">
        <v>93</v>
      </c>
      <c r="N73">
        <v>-0.72</v>
      </c>
      <c r="P73" t="s">
        <v>93</v>
      </c>
      <c r="Q73">
        <v>-1.07</v>
      </c>
      <c r="S73" t="s">
        <v>93</v>
      </c>
      <c r="T73">
        <v>-1.07</v>
      </c>
      <c r="V73" t="s">
        <v>93</v>
      </c>
      <c r="W73">
        <v>-1.07</v>
      </c>
      <c r="Y73" t="s">
        <v>93</v>
      </c>
      <c r="Z73">
        <v>-1.07</v>
      </c>
      <c r="AB73" t="s">
        <v>93</v>
      </c>
      <c r="AC73">
        <v>-0.96</v>
      </c>
      <c r="AE73" t="s">
        <v>93</v>
      </c>
      <c r="AF73">
        <v>-0.96</v>
      </c>
      <c r="AH73" t="s">
        <v>93</v>
      </c>
      <c r="AI73">
        <v>-0.96</v>
      </c>
      <c r="AK73" t="s">
        <v>93</v>
      </c>
      <c r="AL73">
        <v>-0.96</v>
      </c>
      <c r="AN73" t="s">
        <v>93</v>
      </c>
      <c r="AO73">
        <v>-0.96</v>
      </c>
      <c r="AQ73" t="s">
        <v>93</v>
      </c>
      <c r="AR73">
        <v>-0.96</v>
      </c>
    </row>
    <row r="74" spans="4:44" x14ac:dyDescent="0.25">
      <c r="D74" t="s">
        <v>94</v>
      </c>
      <c r="E74">
        <v>0.33</v>
      </c>
      <c r="G74" t="s">
        <v>94</v>
      </c>
      <c r="H74">
        <v>0.33</v>
      </c>
      <c r="J74" t="s">
        <v>94</v>
      </c>
      <c r="K74">
        <v>0.33</v>
      </c>
      <c r="M74" t="s">
        <v>94</v>
      </c>
      <c r="N74">
        <v>0.33</v>
      </c>
      <c r="P74" t="s">
        <v>94</v>
      </c>
      <c r="Q74">
        <v>0.32</v>
      </c>
      <c r="S74" t="s">
        <v>94</v>
      </c>
      <c r="T74">
        <v>0.32</v>
      </c>
      <c r="V74" t="s">
        <v>94</v>
      </c>
      <c r="W74">
        <v>0.32</v>
      </c>
      <c r="Y74" t="s">
        <v>94</v>
      </c>
      <c r="Z74">
        <v>0.32</v>
      </c>
      <c r="AB74" t="s">
        <v>94</v>
      </c>
      <c r="AC74">
        <v>0.31</v>
      </c>
      <c r="AE74" t="s">
        <v>94</v>
      </c>
      <c r="AF74">
        <v>0.31</v>
      </c>
      <c r="AH74" t="s">
        <v>94</v>
      </c>
      <c r="AI74">
        <v>0.31</v>
      </c>
      <c r="AK74" t="s">
        <v>94</v>
      </c>
      <c r="AL74">
        <v>0.31</v>
      </c>
      <c r="AN74" t="s">
        <v>94</v>
      </c>
      <c r="AO74">
        <v>0.31</v>
      </c>
      <c r="AQ74" t="s">
        <v>94</v>
      </c>
      <c r="AR74">
        <v>0.31</v>
      </c>
    </row>
    <row r="75" spans="4:44" x14ac:dyDescent="0.25">
      <c r="D75" t="s">
        <v>330</v>
      </c>
      <c r="E75">
        <v>257.5</v>
      </c>
      <c r="G75" t="s">
        <v>330</v>
      </c>
      <c r="H75">
        <v>224.81</v>
      </c>
      <c r="J75" t="s">
        <v>330</v>
      </c>
      <c r="K75">
        <v>235.57</v>
      </c>
      <c r="M75" t="s">
        <v>330</v>
      </c>
      <c r="N75">
        <v>204.59</v>
      </c>
      <c r="P75" t="s">
        <v>330</v>
      </c>
      <c r="Q75">
        <v>122.32</v>
      </c>
      <c r="S75" t="s">
        <v>330</v>
      </c>
      <c r="T75">
        <v>35.72</v>
      </c>
      <c r="V75" t="s">
        <v>330</v>
      </c>
      <c r="W75">
        <v>70.61</v>
      </c>
      <c r="Y75" t="s">
        <v>330</v>
      </c>
      <c r="Z75">
        <v>0</v>
      </c>
      <c r="AB75" t="s">
        <v>330</v>
      </c>
      <c r="AC75">
        <v>123.9</v>
      </c>
      <c r="AE75" t="s">
        <v>330</v>
      </c>
      <c r="AF75">
        <v>35.57</v>
      </c>
      <c r="AH75" t="s">
        <v>330</v>
      </c>
      <c r="AI75">
        <v>67.95</v>
      </c>
      <c r="AK75" t="s">
        <v>330</v>
      </c>
      <c r="AL75">
        <v>0</v>
      </c>
      <c r="AN75" t="s">
        <v>330</v>
      </c>
      <c r="AO75">
        <v>55.85</v>
      </c>
      <c r="AQ75" t="s">
        <v>330</v>
      </c>
      <c r="AR75">
        <v>276.31</v>
      </c>
    </row>
    <row r="76" spans="4:44" x14ac:dyDescent="0.25">
      <c r="D76" t="s">
        <v>95</v>
      </c>
      <c r="E76">
        <v>162.22999999999999</v>
      </c>
      <c r="G76" t="s">
        <v>95</v>
      </c>
      <c r="H76">
        <v>162.22999999999999</v>
      </c>
      <c r="J76" t="s">
        <v>95</v>
      </c>
      <c r="K76">
        <v>162.22999999999999</v>
      </c>
      <c r="M76" t="s">
        <v>95</v>
      </c>
      <c r="N76">
        <v>162.22999999999999</v>
      </c>
      <c r="P76" t="s">
        <v>95</v>
      </c>
      <c r="Q76">
        <v>135.18</v>
      </c>
      <c r="S76" t="s">
        <v>95</v>
      </c>
      <c r="T76">
        <v>114.67</v>
      </c>
      <c r="V76" t="s">
        <v>95</v>
      </c>
      <c r="W76">
        <v>122.93</v>
      </c>
      <c r="Y76" t="s">
        <v>95</v>
      </c>
      <c r="Z76">
        <v>106.21</v>
      </c>
      <c r="AB76" t="s">
        <v>95</v>
      </c>
      <c r="AC76">
        <v>135.96</v>
      </c>
      <c r="AE76" t="s">
        <v>95</v>
      </c>
      <c r="AF76">
        <v>115.04</v>
      </c>
      <c r="AH76" t="s">
        <v>95</v>
      </c>
      <c r="AI76">
        <v>122.7</v>
      </c>
      <c r="AK76" t="s">
        <v>95</v>
      </c>
      <c r="AL76">
        <v>106.61</v>
      </c>
      <c r="AN76" t="s">
        <v>95</v>
      </c>
      <c r="AO76">
        <v>128.56</v>
      </c>
      <c r="AQ76" t="s">
        <v>95</v>
      </c>
      <c r="AR76">
        <v>176.88</v>
      </c>
    </row>
    <row r="77" spans="4:44" x14ac:dyDescent="0.25">
      <c r="D77" t="s">
        <v>331</v>
      </c>
      <c r="E77">
        <v>18.059999999999999</v>
      </c>
      <c r="G77" t="s">
        <v>331</v>
      </c>
      <c r="H77">
        <v>18.059999999999999</v>
      </c>
      <c r="J77" t="s">
        <v>331</v>
      </c>
      <c r="K77">
        <v>18.059999999999999</v>
      </c>
      <c r="M77" t="s">
        <v>331</v>
      </c>
      <c r="N77">
        <v>18.059999999999999</v>
      </c>
      <c r="P77" t="s">
        <v>331</v>
      </c>
      <c r="Q77">
        <v>19.47</v>
      </c>
      <c r="S77" t="s">
        <v>331</v>
      </c>
      <c r="T77">
        <v>19.47</v>
      </c>
      <c r="V77" t="s">
        <v>331</v>
      </c>
      <c r="W77">
        <v>19.47</v>
      </c>
      <c r="Y77" t="s">
        <v>331</v>
      </c>
      <c r="Z77">
        <v>19.47</v>
      </c>
      <c r="AB77" t="s">
        <v>331</v>
      </c>
      <c r="AC77">
        <v>21.85</v>
      </c>
      <c r="AE77" t="s">
        <v>331</v>
      </c>
      <c r="AF77">
        <v>21.85</v>
      </c>
      <c r="AH77" t="s">
        <v>331</v>
      </c>
      <c r="AI77">
        <v>21.85</v>
      </c>
      <c r="AK77" t="s">
        <v>331</v>
      </c>
      <c r="AL77">
        <v>21.85</v>
      </c>
      <c r="AN77" t="s">
        <v>331</v>
      </c>
      <c r="AO77">
        <v>21.85</v>
      </c>
      <c r="AQ77" t="s">
        <v>331</v>
      </c>
      <c r="AR77">
        <v>21.85</v>
      </c>
    </row>
    <row r="78" spans="4:44" x14ac:dyDescent="0.25">
      <c r="D78" t="s">
        <v>96</v>
      </c>
      <c r="E78">
        <v>0.12</v>
      </c>
      <c r="G78" t="s">
        <v>96</v>
      </c>
      <c r="H78">
        <v>0.12</v>
      </c>
      <c r="J78" t="s">
        <v>96</v>
      </c>
      <c r="K78">
        <v>0.12</v>
      </c>
      <c r="M78" t="s">
        <v>96</v>
      </c>
      <c r="N78">
        <v>0.12</v>
      </c>
      <c r="P78" t="s">
        <v>96</v>
      </c>
      <c r="Q78">
        <v>0.09</v>
      </c>
      <c r="S78" t="s">
        <v>96</v>
      </c>
      <c r="T78">
        <v>0.09</v>
      </c>
      <c r="V78" t="s">
        <v>96</v>
      </c>
      <c r="W78">
        <v>0.09</v>
      </c>
      <c r="Y78" t="s">
        <v>96</v>
      </c>
      <c r="Z78">
        <v>0.09</v>
      </c>
      <c r="AB78" t="s">
        <v>96</v>
      </c>
      <c r="AC78">
        <v>0.1</v>
      </c>
      <c r="AE78" t="s">
        <v>96</v>
      </c>
      <c r="AF78">
        <v>0.1</v>
      </c>
      <c r="AH78" t="s">
        <v>96</v>
      </c>
      <c r="AI78">
        <v>0.1</v>
      </c>
      <c r="AK78" t="s">
        <v>96</v>
      </c>
      <c r="AL78">
        <v>0.1</v>
      </c>
      <c r="AN78" t="s">
        <v>96</v>
      </c>
      <c r="AO78">
        <v>0.1</v>
      </c>
      <c r="AQ78" t="s">
        <v>96</v>
      </c>
      <c r="AR78">
        <v>0.1</v>
      </c>
    </row>
    <row r="79" spans="4:44" x14ac:dyDescent="0.25">
      <c r="D79" t="s">
        <v>97</v>
      </c>
      <c r="E79">
        <v>0.08</v>
      </c>
      <c r="G79" t="s">
        <v>97</v>
      </c>
      <c r="H79">
        <v>0.08</v>
      </c>
      <c r="J79" t="s">
        <v>97</v>
      </c>
      <c r="K79">
        <v>0.08</v>
      </c>
      <c r="M79" t="s">
        <v>97</v>
      </c>
      <c r="N79">
        <v>0.08</v>
      </c>
      <c r="P79" t="s">
        <v>97</v>
      </c>
      <c r="Q79">
        <v>0.06</v>
      </c>
      <c r="S79" t="s">
        <v>97</v>
      </c>
      <c r="T79">
        <v>0.06</v>
      </c>
      <c r="V79" t="s">
        <v>97</v>
      </c>
      <c r="W79">
        <v>0.06</v>
      </c>
      <c r="Y79" t="s">
        <v>97</v>
      </c>
      <c r="Z79">
        <v>0.06</v>
      </c>
      <c r="AB79" t="s">
        <v>97</v>
      </c>
      <c r="AC79">
        <v>0.06</v>
      </c>
      <c r="AE79" t="s">
        <v>97</v>
      </c>
      <c r="AF79">
        <v>0.06</v>
      </c>
      <c r="AH79" t="s">
        <v>97</v>
      </c>
      <c r="AI79">
        <v>0.06</v>
      </c>
      <c r="AK79" t="s">
        <v>97</v>
      </c>
      <c r="AL79">
        <v>0.06</v>
      </c>
      <c r="AN79" t="s">
        <v>97</v>
      </c>
      <c r="AO79">
        <v>0.06</v>
      </c>
      <c r="AQ79" t="s">
        <v>97</v>
      </c>
      <c r="AR79">
        <v>0.06</v>
      </c>
    </row>
    <row r="80" spans="4:44" x14ac:dyDescent="0.25">
      <c r="D80" t="s">
        <v>98</v>
      </c>
      <c r="E80">
        <v>0.1</v>
      </c>
      <c r="G80" t="s">
        <v>98</v>
      </c>
      <c r="H80">
        <v>0.1</v>
      </c>
      <c r="J80" t="s">
        <v>98</v>
      </c>
      <c r="K80">
        <v>0.1</v>
      </c>
      <c r="M80" t="s">
        <v>98</v>
      </c>
      <c r="N80">
        <v>0.1</v>
      </c>
      <c r="P80" t="s">
        <v>98</v>
      </c>
      <c r="Q80">
        <v>0.08</v>
      </c>
      <c r="S80" t="s">
        <v>98</v>
      </c>
      <c r="T80">
        <v>0.08</v>
      </c>
      <c r="V80" t="s">
        <v>98</v>
      </c>
      <c r="W80">
        <v>0.08</v>
      </c>
      <c r="Y80" t="s">
        <v>98</v>
      </c>
      <c r="Z80">
        <v>0.08</v>
      </c>
      <c r="AB80" t="s">
        <v>98</v>
      </c>
      <c r="AC80">
        <v>0.08</v>
      </c>
      <c r="AE80" t="s">
        <v>98</v>
      </c>
      <c r="AF80">
        <v>0.08</v>
      </c>
      <c r="AH80" t="s">
        <v>98</v>
      </c>
      <c r="AI80">
        <v>0.08</v>
      </c>
      <c r="AK80" t="s">
        <v>98</v>
      </c>
      <c r="AL80">
        <v>0.08</v>
      </c>
      <c r="AN80" t="s">
        <v>98</v>
      </c>
      <c r="AO80">
        <v>0.08</v>
      </c>
      <c r="AQ80" t="s">
        <v>98</v>
      </c>
      <c r="AR80">
        <v>0.08</v>
      </c>
    </row>
    <row r="81" spans="4:44" x14ac:dyDescent="0.25">
      <c r="D81" t="s">
        <v>99</v>
      </c>
      <c r="E81">
        <v>0.12</v>
      </c>
      <c r="G81" t="s">
        <v>99</v>
      </c>
      <c r="H81">
        <v>0.12</v>
      </c>
      <c r="J81" t="s">
        <v>99</v>
      </c>
      <c r="K81">
        <v>0.12</v>
      </c>
      <c r="M81" t="s">
        <v>99</v>
      </c>
      <c r="N81">
        <v>0.12</v>
      </c>
      <c r="P81" t="s">
        <v>99</v>
      </c>
      <c r="Q81">
        <v>0.09</v>
      </c>
      <c r="S81" t="s">
        <v>99</v>
      </c>
      <c r="T81">
        <v>0.09</v>
      </c>
      <c r="V81" t="s">
        <v>99</v>
      </c>
      <c r="W81">
        <v>0.09</v>
      </c>
      <c r="Y81" t="s">
        <v>99</v>
      </c>
      <c r="Z81">
        <v>0.09</v>
      </c>
      <c r="AB81" t="s">
        <v>99</v>
      </c>
      <c r="AC81">
        <v>0.1</v>
      </c>
      <c r="AE81" t="s">
        <v>99</v>
      </c>
      <c r="AF81">
        <v>0.1</v>
      </c>
      <c r="AH81" t="s">
        <v>99</v>
      </c>
      <c r="AI81">
        <v>0.1</v>
      </c>
      <c r="AK81" t="s">
        <v>99</v>
      </c>
      <c r="AL81">
        <v>0.1</v>
      </c>
      <c r="AN81" t="s">
        <v>99</v>
      </c>
      <c r="AO81">
        <v>0.1</v>
      </c>
      <c r="AQ81" t="s">
        <v>99</v>
      </c>
      <c r="AR81">
        <v>0.1</v>
      </c>
    </row>
    <row r="82" spans="4:44" x14ac:dyDescent="0.25">
      <c r="D82" t="s">
        <v>100</v>
      </c>
      <c r="E82">
        <v>0.35</v>
      </c>
      <c r="G82" t="s">
        <v>100</v>
      </c>
      <c r="H82">
        <v>0.35</v>
      </c>
      <c r="J82" t="s">
        <v>100</v>
      </c>
      <c r="K82">
        <v>0.35</v>
      </c>
      <c r="M82" t="s">
        <v>100</v>
      </c>
      <c r="N82">
        <v>0.35</v>
      </c>
      <c r="P82" t="s">
        <v>100</v>
      </c>
      <c r="Q82">
        <v>0.48</v>
      </c>
      <c r="S82" t="s">
        <v>100</v>
      </c>
      <c r="T82">
        <v>0.48</v>
      </c>
      <c r="V82" t="s">
        <v>100</v>
      </c>
      <c r="W82">
        <v>0.48</v>
      </c>
      <c r="Y82" t="s">
        <v>100</v>
      </c>
      <c r="Z82">
        <v>0.48</v>
      </c>
      <c r="AB82" t="s">
        <v>100</v>
      </c>
      <c r="AC82">
        <v>0.43</v>
      </c>
      <c r="AE82" t="s">
        <v>100</v>
      </c>
      <c r="AF82">
        <v>0.43</v>
      </c>
      <c r="AH82" t="s">
        <v>100</v>
      </c>
      <c r="AI82">
        <v>0.43</v>
      </c>
      <c r="AK82" t="s">
        <v>100</v>
      </c>
      <c r="AL82">
        <v>0.43</v>
      </c>
      <c r="AN82" t="s">
        <v>100</v>
      </c>
      <c r="AO82">
        <v>0.43</v>
      </c>
      <c r="AQ82" t="s">
        <v>100</v>
      </c>
      <c r="AR82">
        <v>0.43</v>
      </c>
    </row>
    <row r="83" spans="4:44" x14ac:dyDescent="0.25">
      <c r="D83" t="s">
        <v>101</v>
      </c>
      <c r="E83">
        <v>0.36</v>
      </c>
      <c r="G83" t="s">
        <v>101</v>
      </c>
      <c r="H83">
        <v>0.36</v>
      </c>
      <c r="J83" t="s">
        <v>101</v>
      </c>
      <c r="K83">
        <v>0.36</v>
      </c>
      <c r="M83" t="s">
        <v>101</v>
      </c>
      <c r="N83">
        <v>0.36</v>
      </c>
      <c r="P83" t="s">
        <v>101</v>
      </c>
      <c r="Q83">
        <v>0.27</v>
      </c>
      <c r="S83" t="s">
        <v>101</v>
      </c>
      <c r="T83">
        <v>0.27</v>
      </c>
      <c r="V83" t="s">
        <v>101</v>
      </c>
      <c r="W83">
        <v>0.27</v>
      </c>
      <c r="Y83" t="s">
        <v>101</v>
      </c>
      <c r="Z83">
        <v>0.27</v>
      </c>
      <c r="AB83" t="s">
        <v>101</v>
      </c>
      <c r="AC83">
        <v>0.28999999999999998</v>
      </c>
      <c r="AE83" t="s">
        <v>101</v>
      </c>
      <c r="AF83">
        <v>0.28999999999999998</v>
      </c>
      <c r="AH83" t="s">
        <v>101</v>
      </c>
      <c r="AI83">
        <v>0.28999999999999998</v>
      </c>
      <c r="AK83" t="s">
        <v>101</v>
      </c>
      <c r="AL83">
        <v>0.28999999999999998</v>
      </c>
      <c r="AN83" t="s">
        <v>101</v>
      </c>
      <c r="AO83">
        <v>0.28999999999999998</v>
      </c>
      <c r="AQ83" t="s">
        <v>101</v>
      </c>
      <c r="AR83">
        <v>0.28999999999999998</v>
      </c>
    </row>
    <row r="84" spans="4:44" x14ac:dyDescent="0.25">
      <c r="D84" t="s">
        <v>102</v>
      </c>
      <c r="E84">
        <v>0.48</v>
      </c>
      <c r="G84" t="s">
        <v>102</v>
      </c>
      <c r="H84">
        <v>0.48</v>
      </c>
      <c r="J84" t="s">
        <v>102</v>
      </c>
      <c r="K84">
        <v>0.48</v>
      </c>
      <c r="M84" t="s">
        <v>102</v>
      </c>
      <c r="N84">
        <v>0.48</v>
      </c>
      <c r="P84" t="s">
        <v>102</v>
      </c>
      <c r="Q84">
        <v>0.36</v>
      </c>
      <c r="S84" t="s">
        <v>102</v>
      </c>
      <c r="T84">
        <v>0.36</v>
      </c>
      <c r="V84" t="s">
        <v>102</v>
      </c>
      <c r="W84">
        <v>0.36</v>
      </c>
      <c r="Y84" t="s">
        <v>102</v>
      </c>
      <c r="Z84">
        <v>0.36</v>
      </c>
      <c r="AB84" t="s">
        <v>102</v>
      </c>
      <c r="AC84">
        <v>0.38</v>
      </c>
      <c r="AE84" t="s">
        <v>102</v>
      </c>
      <c r="AF84">
        <v>0.38</v>
      </c>
      <c r="AH84" t="s">
        <v>102</v>
      </c>
      <c r="AI84">
        <v>0.38</v>
      </c>
      <c r="AK84" t="s">
        <v>102</v>
      </c>
      <c r="AL84">
        <v>0.38</v>
      </c>
      <c r="AN84" t="s">
        <v>102</v>
      </c>
      <c r="AO84">
        <v>0.38</v>
      </c>
      <c r="AQ84" t="s">
        <v>102</v>
      </c>
      <c r="AR84">
        <v>0.38</v>
      </c>
    </row>
    <row r="85" spans="4:44" x14ac:dyDescent="0.25">
      <c r="D85" t="s">
        <v>103</v>
      </c>
      <c r="E85">
        <v>0.48</v>
      </c>
      <c r="G85" t="s">
        <v>103</v>
      </c>
      <c r="H85">
        <v>0.48</v>
      </c>
      <c r="J85" t="s">
        <v>103</v>
      </c>
      <c r="K85">
        <v>0.48</v>
      </c>
      <c r="M85" t="s">
        <v>103</v>
      </c>
      <c r="N85">
        <v>0.48</v>
      </c>
      <c r="P85" t="s">
        <v>103</v>
      </c>
      <c r="Q85">
        <v>0.36</v>
      </c>
      <c r="S85" t="s">
        <v>103</v>
      </c>
      <c r="T85">
        <v>0.36</v>
      </c>
      <c r="V85" t="s">
        <v>103</v>
      </c>
      <c r="W85">
        <v>0.36</v>
      </c>
      <c r="Y85" t="s">
        <v>103</v>
      </c>
      <c r="Z85">
        <v>0.36</v>
      </c>
      <c r="AB85" t="s">
        <v>103</v>
      </c>
      <c r="AC85">
        <v>0.38</v>
      </c>
      <c r="AE85" t="s">
        <v>103</v>
      </c>
      <c r="AF85">
        <v>0.38</v>
      </c>
      <c r="AH85" t="s">
        <v>103</v>
      </c>
      <c r="AI85">
        <v>0.38</v>
      </c>
      <c r="AK85" t="s">
        <v>103</v>
      </c>
      <c r="AL85">
        <v>0.38</v>
      </c>
      <c r="AN85" t="s">
        <v>103</v>
      </c>
      <c r="AO85">
        <v>0.38</v>
      </c>
      <c r="AQ85" t="s">
        <v>103</v>
      </c>
      <c r="AR85">
        <v>0.38</v>
      </c>
    </row>
    <row r="86" spans="4:44" x14ac:dyDescent="0.25">
      <c r="D86" t="s">
        <v>104</v>
      </c>
      <c r="E86">
        <v>11.9</v>
      </c>
      <c r="G86" t="s">
        <v>104</v>
      </c>
      <c r="H86">
        <v>11.9</v>
      </c>
      <c r="J86" t="s">
        <v>104</v>
      </c>
      <c r="K86">
        <v>11.9</v>
      </c>
      <c r="M86" t="s">
        <v>104</v>
      </c>
      <c r="N86">
        <v>11.9</v>
      </c>
      <c r="P86" t="s">
        <v>104</v>
      </c>
      <c r="Q86">
        <v>16.68</v>
      </c>
      <c r="S86" t="s">
        <v>104</v>
      </c>
      <c r="T86">
        <v>16.68</v>
      </c>
      <c r="V86" t="s">
        <v>104</v>
      </c>
      <c r="W86">
        <v>16.68</v>
      </c>
      <c r="Y86" t="s">
        <v>104</v>
      </c>
      <c r="Z86">
        <v>16.68</v>
      </c>
      <c r="AB86" t="s">
        <v>104</v>
      </c>
      <c r="AC86">
        <v>14.83</v>
      </c>
      <c r="AE86" t="s">
        <v>104</v>
      </c>
      <c r="AF86">
        <v>14.83</v>
      </c>
      <c r="AH86" t="s">
        <v>104</v>
      </c>
      <c r="AI86">
        <v>14.83</v>
      </c>
      <c r="AK86" t="s">
        <v>104</v>
      </c>
      <c r="AL86">
        <v>14.83</v>
      </c>
      <c r="AN86" t="s">
        <v>104</v>
      </c>
      <c r="AO86">
        <v>14.83</v>
      </c>
      <c r="AQ86" t="s">
        <v>104</v>
      </c>
      <c r="AR86">
        <v>14.83</v>
      </c>
    </row>
    <row r="87" spans="4:44" x14ac:dyDescent="0.25">
      <c r="D87" t="s">
        <v>105</v>
      </c>
      <c r="E87">
        <v>0.39</v>
      </c>
      <c r="G87" t="s">
        <v>105</v>
      </c>
      <c r="H87">
        <v>0.39</v>
      </c>
      <c r="J87" t="s">
        <v>105</v>
      </c>
      <c r="K87">
        <v>0.39</v>
      </c>
      <c r="M87" t="s">
        <v>105</v>
      </c>
      <c r="N87">
        <v>0.39</v>
      </c>
      <c r="P87" t="s">
        <v>105</v>
      </c>
      <c r="Q87">
        <v>0.54</v>
      </c>
      <c r="S87" t="s">
        <v>105</v>
      </c>
      <c r="T87">
        <v>0.54</v>
      </c>
      <c r="V87" t="s">
        <v>105</v>
      </c>
      <c r="W87">
        <v>0.54</v>
      </c>
      <c r="Y87" t="s">
        <v>105</v>
      </c>
      <c r="Z87">
        <v>0.54</v>
      </c>
      <c r="AB87" t="s">
        <v>105</v>
      </c>
      <c r="AC87">
        <v>0.48</v>
      </c>
      <c r="AE87" t="s">
        <v>105</v>
      </c>
      <c r="AF87">
        <v>0.48</v>
      </c>
      <c r="AH87" t="s">
        <v>105</v>
      </c>
      <c r="AI87">
        <v>0.48</v>
      </c>
      <c r="AK87" t="s">
        <v>105</v>
      </c>
      <c r="AL87">
        <v>0.48</v>
      </c>
      <c r="AN87" t="s">
        <v>105</v>
      </c>
      <c r="AO87">
        <v>0.48</v>
      </c>
      <c r="AQ87" t="s">
        <v>105</v>
      </c>
      <c r="AR87">
        <v>0.48</v>
      </c>
    </row>
    <row r="88" spans="4:44" x14ac:dyDescent="0.25">
      <c r="D88" t="s">
        <v>106</v>
      </c>
      <c r="E88">
        <v>9.26</v>
      </c>
      <c r="G88" t="s">
        <v>106</v>
      </c>
      <c r="H88">
        <v>9.26</v>
      </c>
      <c r="J88" t="s">
        <v>106</v>
      </c>
      <c r="K88">
        <v>9.26</v>
      </c>
      <c r="M88" t="s">
        <v>106</v>
      </c>
      <c r="N88">
        <v>9.26</v>
      </c>
      <c r="P88" t="s">
        <v>106</v>
      </c>
      <c r="Q88">
        <v>12.87</v>
      </c>
      <c r="S88" t="s">
        <v>106</v>
      </c>
      <c r="T88">
        <v>12.87</v>
      </c>
      <c r="V88" t="s">
        <v>106</v>
      </c>
      <c r="W88">
        <v>12.87</v>
      </c>
      <c r="Y88" t="s">
        <v>106</v>
      </c>
      <c r="Z88">
        <v>12.87</v>
      </c>
      <c r="AB88" t="s">
        <v>106</v>
      </c>
      <c r="AC88">
        <v>11.42</v>
      </c>
      <c r="AE88" t="s">
        <v>106</v>
      </c>
      <c r="AF88">
        <v>11.42</v>
      </c>
      <c r="AH88" t="s">
        <v>106</v>
      </c>
      <c r="AI88">
        <v>11.42</v>
      </c>
      <c r="AK88" t="s">
        <v>106</v>
      </c>
      <c r="AL88">
        <v>11.42</v>
      </c>
      <c r="AN88" t="s">
        <v>106</v>
      </c>
      <c r="AO88">
        <v>11.42</v>
      </c>
      <c r="AQ88" t="s">
        <v>106</v>
      </c>
      <c r="AR88">
        <v>11.42</v>
      </c>
    </row>
    <row r="89" spans="4:44" x14ac:dyDescent="0.25">
      <c r="D89" t="s">
        <v>107</v>
      </c>
      <c r="E89">
        <v>0.78</v>
      </c>
      <c r="G89" t="s">
        <v>107</v>
      </c>
      <c r="H89">
        <v>0.78</v>
      </c>
      <c r="J89" t="s">
        <v>107</v>
      </c>
      <c r="K89">
        <v>0.78</v>
      </c>
      <c r="M89" t="s">
        <v>107</v>
      </c>
      <c r="N89">
        <v>0.78</v>
      </c>
      <c r="P89" t="s">
        <v>107</v>
      </c>
      <c r="Q89">
        <v>1.1499999999999999</v>
      </c>
      <c r="S89" t="s">
        <v>107</v>
      </c>
      <c r="T89">
        <v>1.1499999999999999</v>
      </c>
      <c r="V89" t="s">
        <v>107</v>
      </c>
      <c r="W89">
        <v>1.1499999999999999</v>
      </c>
      <c r="Y89" t="s">
        <v>107</v>
      </c>
      <c r="Z89">
        <v>1.1499999999999999</v>
      </c>
      <c r="AB89" t="s">
        <v>107</v>
      </c>
      <c r="AC89">
        <v>1.04</v>
      </c>
      <c r="AE89" t="s">
        <v>107</v>
      </c>
      <c r="AF89">
        <v>1.04</v>
      </c>
      <c r="AH89" t="s">
        <v>107</v>
      </c>
      <c r="AI89">
        <v>1.04</v>
      </c>
      <c r="AK89" t="s">
        <v>107</v>
      </c>
      <c r="AL89">
        <v>1.04</v>
      </c>
      <c r="AN89" t="s">
        <v>107</v>
      </c>
      <c r="AO89">
        <v>1.04</v>
      </c>
      <c r="AQ89" t="s">
        <v>107</v>
      </c>
      <c r="AR89">
        <v>1.04</v>
      </c>
    </row>
    <row r="90" spans="4:44" x14ac:dyDescent="0.25">
      <c r="D90" t="s">
        <v>108</v>
      </c>
      <c r="E90">
        <v>4.2300000000000004</v>
      </c>
      <c r="G90" t="s">
        <v>108</v>
      </c>
      <c r="H90">
        <v>4.2300000000000004</v>
      </c>
      <c r="J90" t="s">
        <v>108</v>
      </c>
      <c r="K90">
        <v>4.2300000000000004</v>
      </c>
      <c r="M90" t="s">
        <v>108</v>
      </c>
      <c r="N90">
        <v>4.2300000000000004</v>
      </c>
      <c r="P90" t="s">
        <v>108</v>
      </c>
      <c r="Q90">
        <v>5.88</v>
      </c>
      <c r="S90" t="s">
        <v>108</v>
      </c>
      <c r="T90">
        <v>5.88</v>
      </c>
      <c r="V90" t="s">
        <v>108</v>
      </c>
      <c r="W90">
        <v>5.88</v>
      </c>
      <c r="Y90" t="s">
        <v>108</v>
      </c>
      <c r="Z90">
        <v>5.88</v>
      </c>
      <c r="AB90" t="s">
        <v>108</v>
      </c>
      <c r="AC90">
        <v>5.21</v>
      </c>
      <c r="AE90" t="s">
        <v>108</v>
      </c>
      <c r="AF90">
        <v>5.21</v>
      </c>
      <c r="AH90" t="s">
        <v>108</v>
      </c>
      <c r="AI90">
        <v>5.21</v>
      </c>
      <c r="AK90" t="s">
        <v>108</v>
      </c>
      <c r="AL90">
        <v>5.21</v>
      </c>
      <c r="AN90" t="s">
        <v>108</v>
      </c>
      <c r="AO90">
        <v>5.21</v>
      </c>
      <c r="AQ90" t="s">
        <v>108</v>
      </c>
      <c r="AR90">
        <v>5.21</v>
      </c>
    </row>
    <row r="91" spans="4:44" x14ac:dyDescent="0.25">
      <c r="D91" t="s">
        <v>109</v>
      </c>
      <c r="E91">
        <v>-0.06</v>
      </c>
      <c r="G91" t="s">
        <v>109</v>
      </c>
      <c r="H91">
        <v>-0.06</v>
      </c>
      <c r="J91" t="s">
        <v>109</v>
      </c>
      <c r="K91">
        <v>-0.06</v>
      </c>
      <c r="M91" t="s">
        <v>109</v>
      </c>
      <c r="N91">
        <v>-0.06</v>
      </c>
      <c r="P91" t="s">
        <v>109</v>
      </c>
      <c r="Q91">
        <v>-0.11</v>
      </c>
      <c r="S91" t="s">
        <v>109</v>
      </c>
      <c r="T91">
        <v>-0.11</v>
      </c>
      <c r="V91" t="s">
        <v>109</v>
      </c>
      <c r="W91">
        <v>-0.11</v>
      </c>
      <c r="Y91" t="s">
        <v>109</v>
      </c>
      <c r="Z91">
        <v>-0.11</v>
      </c>
      <c r="AB91" t="s">
        <v>109</v>
      </c>
      <c r="AC91">
        <v>-0.1</v>
      </c>
      <c r="AE91" t="s">
        <v>109</v>
      </c>
      <c r="AF91">
        <v>-0.1</v>
      </c>
      <c r="AH91" t="s">
        <v>109</v>
      </c>
      <c r="AI91">
        <v>-0.1</v>
      </c>
      <c r="AK91" t="s">
        <v>109</v>
      </c>
      <c r="AL91">
        <v>-0.1</v>
      </c>
      <c r="AN91" t="s">
        <v>109</v>
      </c>
      <c r="AO91">
        <v>-0.1</v>
      </c>
      <c r="AQ91" t="s">
        <v>109</v>
      </c>
      <c r="AR91">
        <v>-0.1</v>
      </c>
    </row>
    <row r="92" spans="4:44" x14ac:dyDescent="0.25">
      <c r="D92" t="s">
        <v>110</v>
      </c>
      <c r="E92">
        <v>-0.72</v>
      </c>
      <c r="G92" t="s">
        <v>110</v>
      </c>
      <c r="H92">
        <v>-0.72</v>
      </c>
      <c r="J92" t="s">
        <v>110</v>
      </c>
      <c r="K92">
        <v>-0.72</v>
      </c>
      <c r="M92" t="s">
        <v>110</v>
      </c>
      <c r="N92">
        <v>-0.72</v>
      </c>
      <c r="P92" t="s">
        <v>110</v>
      </c>
      <c r="Q92">
        <v>-1.04</v>
      </c>
      <c r="S92" t="s">
        <v>110</v>
      </c>
      <c r="T92">
        <v>-1.04</v>
      </c>
      <c r="V92" t="s">
        <v>110</v>
      </c>
      <c r="W92">
        <v>-1.04</v>
      </c>
      <c r="Y92" t="s">
        <v>110</v>
      </c>
      <c r="Z92">
        <v>-1.04</v>
      </c>
      <c r="AB92" t="s">
        <v>110</v>
      </c>
      <c r="AC92">
        <v>-0.93</v>
      </c>
      <c r="AE92" t="s">
        <v>110</v>
      </c>
      <c r="AF92">
        <v>-0.93</v>
      </c>
      <c r="AH92" t="s">
        <v>110</v>
      </c>
      <c r="AI92">
        <v>-0.93</v>
      </c>
      <c r="AK92" t="s">
        <v>110</v>
      </c>
      <c r="AL92">
        <v>-0.93</v>
      </c>
      <c r="AN92" t="s">
        <v>110</v>
      </c>
      <c r="AO92">
        <v>-0.93</v>
      </c>
      <c r="AQ92" t="s">
        <v>110</v>
      </c>
      <c r="AR92">
        <v>-0.93</v>
      </c>
    </row>
    <row r="93" spans="4:44" x14ac:dyDescent="0.25">
      <c r="D93" t="s">
        <v>111</v>
      </c>
      <c r="E93">
        <v>0.51</v>
      </c>
      <c r="G93" t="s">
        <v>111</v>
      </c>
      <c r="H93">
        <v>0.51</v>
      </c>
      <c r="J93" t="s">
        <v>111</v>
      </c>
      <c r="K93">
        <v>0.51</v>
      </c>
      <c r="M93" t="s">
        <v>111</v>
      </c>
      <c r="N93">
        <v>0.51</v>
      </c>
      <c r="P93" t="s">
        <v>111</v>
      </c>
      <c r="Q93">
        <v>0.78</v>
      </c>
      <c r="S93" t="s">
        <v>111</v>
      </c>
      <c r="T93">
        <v>0.78</v>
      </c>
      <c r="V93" t="s">
        <v>111</v>
      </c>
      <c r="W93">
        <v>0.78</v>
      </c>
      <c r="Y93" t="s">
        <v>111</v>
      </c>
      <c r="Z93">
        <v>0.78</v>
      </c>
      <c r="AB93" t="s">
        <v>111</v>
      </c>
      <c r="AC93">
        <v>0.71</v>
      </c>
      <c r="AE93" t="s">
        <v>111</v>
      </c>
      <c r="AF93">
        <v>0.71</v>
      </c>
      <c r="AH93" t="s">
        <v>111</v>
      </c>
      <c r="AI93">
        <v>0.71</v>
      </c>
      <c r="AK93" t="s">
        <v>111</v>
      </c>
      <c r="AL93">
        <v>0.71</v>
      </c>
      <c r="AN93" t="s">
        <v>111</v>
      </c>
      <c r="AO93">
        <v>0.71</v>
      </c>
      <c r="AQ93" t="s">
        <v>111</v>
      </c>
      <c r="AR93">
        <v>0.71</v>
      </c>
    </row>
    <row r="94" spans="4:44" x14ac:dyDescent="0.25">
      <c r="D94" t="s">
        <v>112</v>
      </c>
      <c r="E94">
        <v>0.23</v>
      </c>
      <c r="G94" t="s">
        <v>112</v>
      </c>
      <c r="H94">
        <v>0.23</v>
      </c>
      <c r="J94" t="s">
        <v>112</v>
      </c>
      <c r="K94">
        <v>0.23</v>
      </c>
      <c r="M94" t="s">
        <v>112</v>
      </c>
      <c r="N94">
        <v>0.23</v>
      </c>
      <c r="P94" t="s">
        <v>112</v>
      </c>
      <c r="Q94">
        <v>0.17</v>
      </c>
      <c r="S94" t="s">
        <v>112</v>
      </c>
      <c r="T94">
        <v>0.17</v>
      </c>
      <c r="V94" t="s">
        <v>112</v>
      </c>
      <c r="W94">
        <v>0.17</v>
      </c>
      <c r="Y94" t="s">
        <v>112</v>
      </c>
      <c r="Z94">
        <v>0.17</v>
      </c>
      <c r="AB94" t="s">
        <v>112</v>
      </c>
      <c r="AC94">
        <v>0.18</v>
      </c>
      <c r="AE94" t="s">
        <v>112</v>
      </c>
      <c r="AF94">
        <v>0.18</v>
      </c>
      <c r="AH94" t="s">
        <v>112</v>
      </c>
      <c r="AI94">
        <v>0.18</v>
      </c>
      <c r="AK94" t="s">
        <v>112</v>
      </c>
      <c r="AL94">
        <v>0.18</v>
      </c>
      <c r="AN94" t="s">
        <v>112</v>
      </c>
      <c r="AO94">
        <v>0.18</v>
      </c>
      <c r="AQ94" t="s">
        <v>112</v>
      </c>
      <c r="AR94">
        <v>0.18</v>
      </c>
    </row>
    <row r="95" spans="4:44" x14ac:dyDescent="0.25">
      <c r="D95" t="s">
        <v>113</v>
      </c>
      <c r="E95">
        <v>1.76</v>
      </c>
      <c r="G95" t="s">
        <v>113</v>
      </c>
      <c r="H95">
        <v>1.76</v>
      </c>
      <c r="J95" t="s">
        <v>113</v>
      </c>
      <c r="K95">
        <v>1.76</v>
      </c>
      <c r="M95" t="s">
        <v>113</v>
      </c>
      <c r="N95">
        <v>1.76</v>
      </c>
      <c r="P95" t="s">
        <v>113</v>
      </c>
      <c r="Q95">
        <v>2.2799999999999998</v>
      </c>
      <c r="S95" t="s">
        <v>113</v>
      </c>
      <c r="T95">
        <v>2.2799999999999998</v>
      </c>
      <c r="V95" t="s">
        <v>113</v>
      </c>
      <c r="W95">
        <v>2.2799999999999998</v>
      </c>
      <c r="Y95" t="s">
        <v>113</v>
      </c>
      <c r="Z95">
        <v>2.2799999999999998</v>
      </c>
      <c r="AB95" t="s">
        <v>113</v>
      </c>
      <c r="AC95">
        <v>2.08</v>
      </c>
      <c r="AE95" t="s">
        <v>113</v>
      </c>
      <c r="AF95">
        <v>2.08</v>
      </c>
      <c r="AH95" t="s">
        <v>113</v>
      </c>
      <c r="AI95">
        <v>2.08</v>
      </c>
      <c r="AK95" t="s">
        <v>113</v>
      </c>
      <c r="AL95">
        <v>2.08</v>
      </c>
      <c r="AN95" t="s">
        <v>113</v>
      </c>
      <c r="AO95">
        <v>2.08</v>
      </c>
      <c r="AQ95" t="s">
        <v>113</v>
      </c>
      <c r="AR95">
        <v>2.08</v>
      </c>
    </row>
    <row r="96" spans="4:44" x14ac:dyDescent="0.25">
      <c r="D96" t="s">
        <v>114</v>
      </c>
      <c r="E96">
        <v>0.59</v>
      </c>
      <c r="G96" t="s">
        <v>114</v>
      </c>
      <c r="H96">
        <v>0.59</v>
      </c>
      <c r="J96" t="s">
        <v>114</v>
      </c>
      <c r="K96">
        <v>0.59</v>
      </c>
      <c r="M96" t="s">
        <v>114</v>
      </c>
      <c r="N96">
        <v>0.59</v>
      </c>
      <c r="P96" t="s">
        <v>114</v>
      </c>
      <c r="Q96">
        <v>0.82</v>
      </c>
      <c r="S96" t="s">
        <v>114</v>
      </c>
      <c r="T96">
        <v>0.82</v>
      </c>
      <c r="V96" t="s">
        <v>114</v>
      </c>
      <c r="W96">
        <v>0.82</v>
      </c>
      <c r="Y96" t="s">
        <v>114</v>
      </c>
      <c r="Z96">
        <v>0.82</v>
      </c>
      <c r="AB96" t="s">
        <v>114</v>
      </c>
      <c r="AC96">
        <v>0.73</v>
      </c>
      <c r="AE96" t="s">
        <v>114</v>
      </c>
      <c r="AF96">
        <v>0.73</v>
      </c>
      <c r="AH96" t="s">
        <v>114</v>
      </c>
      <c r="AI96">
        <v>0.73</v>
      </c>
      <c r="AK96" t="s">
        <v>114</v>
      </c>
      <c r="AL96">
        <v>0.73</v>
      </c>
      <c r="AN96" t="s">
        <v>114</v>
      </c>
      <c r="AO96">
        <v>0.73</v>
      </c>
      <c r="AQ96" t="s">
        <v>114</v>
      </c>
      <c r="AR96">
        <v>0.73</v>
      </c>
    </row>
    <row r="97" spans="4:44" x14ac:dyDescent="0.25">
      <c r="D97" t="s">
        <v>115</v>
      </c>
      <c r="E97">
        <v>0.12</v>
      </c>
      <c r="G97" t="s">
        <v>115</v>
      </c>
      <c r="H97">
        <v>0.12</v>
      </c>
      <c r="J97" t="s">
        <v>115</v>
      </c>
      <c r="K97">
        <v>0.12</v>
      </c>
      <c r="M97" t="s">
        <v>115</v>
      </c>
      <c r="N97">
        <v>0.12</v>
      </c>
      <c r="P97" t="s">
        <v>115</v>
      </c>
      <c r="Q97">
        <v>0.16</v>
      </c>
      <c r="S97" t="s">
        <v>115</v>
      </c>
      <c r="T97">
        <v>0.16</v>
      </c>
      <c r="V97" t="s">
        <v>115</v>
      </c>
      <c r="W97">
        <v>0.16</v>
      </c>
      <c r="Y97" t="s">
        <v>115</v>
      </c>
      <c r="Z97">
        <v>0.16</v>
      </c>
      <c r="AB97" t="s">
        <v>115</v>
      </c>
      <c r="AC97">
        <v>0.15</v>
      </c>
      <c r="AE97" t="s">
        <v>115</v>
      </c>
      <c r="AF97">
        <v>0.15</v>
      </c>
      <c r="AH97" t="s">
        <v>115</v>
      </c>
      <c r="AI97">
        <v>0.15</v>
      </c>
      <c r="AK97" t="s">
        <v>115</v>
      </c>
      <c r="AL97">
        <v>0.15</v>
      </c>
      <c r="AN97" t="s">
        <v>115</v>
      </c>
      <c r="AO97">
        <v>0.15</v>
      </c>
      <c r="AQ97" t="s">
        <v>115</v>
      </c>
      <c r="AR97">
        <v>0.15</v>
      </c>
    </row>
    <row r="98" spans="4:44" x14ac:dyDescent="0.25">
      <c r="D98" t="s">
        <v>116</v>
      </c>
      <c r="E98">
        <v>0.14000000000000001</v>
      </c>
      <c r="G98" t="s">
        <v>116</v>
      </c>
      <c r="H98">
        <v>0.14000000000000001</v>
      </c>
      <c r="J98" t="s">
        <v>116</v>
      </c>
      <c r="K98">
        <v>0.14000000000000001</v>
      </c>
      <c r="M98" t="s">
        <v>116</v>
      </c>
      <c r="N98">
        <v>0.14000000000000001</v>
      </c>
      <c r="P98" t="s">
        <v>116</v>
      </c>
      <c r="Q98">
        <v>0.11</v>
      </c>
      <c r="S98" t="s">
        <v>116</v>
      </c>
      <c r="T98">
        <v>0.11</v>
      </c>
      <c r="V98" t="s">
        <v>116</v>
      </c>
      <c r="W98">
        <v>0.11</v>
      </c>
      <c r="Y98" t="s">
        <v>116</v>
      </c>
      <c r="Z98">
        <v>0.11</v>
      </c>
      <c r="AB98" t="s">
        <v>116</v>
      </c>
      <c r="AC98">
        <v>0.11</v>
      </c>
      <c r="AE98" t="s">
        <v>116</v>
      </c>
      <c r="AF98">
        <v>0.11</v>
      </c>
      <c r="AH98" t="s">
        <v>116</v>
      </c>
      <c r="AI98">
        <v>0.11</v>
      </c>
      <c r="AK98" t="s">
        <v>116</v>
      </c>
      <c r="AL98">
        <v>0.11</v>
      </c>
      <c r="AN98" t="s">
        <v>116</v>
      </c>
      <c r="AO98">
        <v>0.11</v>
      </c>
      <c r="AQ98" t="s">
        <v>116</v>
      </c>
      <c r="AR98">
        <v>0.11</v>
      </c>
    </row>
    <row r="99" spans="4:44" x14ac:dyDescent="0.25">
      <c r="D99" t="s">
        <v>117</v>
      </c>
      <c r="E99">
        <v>0.22</v>
      </c>
      <c r="G99" t="s">
        <v>117</v>
      </c>
      <c r="H99">
        <v>0.22</v>
      </c>
      <c r="J99" t="s">
        <v>117</v>
      </c>
      <c r="K99">
        <v>0.22</v>
      </c>
      <c r="M99" t="s">
        <v>117</v>
      </c>
      <c r="N99">
        <v>0.22</v>
      </c>
      <c r="P99" t="s">
        <v>117</v>
      </c>
      <c r="Q99">
        <v>0.17</v>
      </c>
      <c r="S99" t="s">
        <v>117</v>
      </c>
      <c r="T99">
        <v>0.17</v>
      </c>
      <c r="V99" t="s">
        <v>117</v>
      </c>
      <c r="W99">
        <v>0.17</v>
      </c>
      <c r="Y99" t="s">
        <v>117</v>
      </c>
      <c r="Z99">
        <v>0.17</v>
      </c>
      <c r="AB99" t="s">
        <v>117</v>
      </c>
      <c r="AC99">
        <v>0.18</v>
      </c>
      <c r="AE99" t="s">
        <v>117</v>
      </c>
      <c r="AF99">
        <v>0.18</v>
      </c>
      <c r="AH99" t="s">
        <v>117</v>
      </c>
      <c r="AI99">
        <v>0.18</v>
      </c>
      <c r="AK99" t="s">
        <v>117</v>
      </c>
      <c r="AL99">
        <v>0.18</v>
      </c>
      <c r="AN99" t="s">
        <v>117</v>
      </c>
      <c r="AO99">
        <v>0.18</v>
      </c>
      <c r="AQ99" t="s">
        <v>117</v>
      </c>
      <c r="AR99">
        <v>0.18</v>
      </c>
    </row>
    <row r="100" spans="4:44" x14ac:dyDescent="0.25">
      <c r="D100" t="s">
        <v>118</v>
      </c>
      <c r="E100">
        <v>0.22</v>
      </c>
      <c r="G100" t="s">
        <v>118</v>
      </c>
      <c r="H100">
        <v>0.22</v>
      </c>
      <c r="J100" t="s">
        <v>118</v>
      </c>
      <c r="K100">
        <v>0.22</v>
      </c>
      <c r="M100" t="s">
        <v>118</v>
      </c>
      <c r="N100">
        <v>0.22</v>
      </c>
      <c r="P100" t="s">
        <v>118</v>
      </c>
      <c r="Q100">
        <v>0.17</v>
      </c>
      <c r="S100" t="s">
        <v>118</v>
      </c>
      <c r="T100">
        <v>0.17</v>
      </c>
      <c r="V100" t="s">
        <v>118</v>
      </c>
      <c r="W100">
        <v>0.17</v>
      </c>
      <c r="Y100" t="s">
        <v>118</v>
      </c>
      <c r="Z100">
        <v>0.17</v>
      </c>
      <c r="AB100" t="s">
        <v>118</v>
      </c>
      <c r="AC100">
        <v>0.18</v>
      </c>
      <c r="AE100" t="s">
        <v>118</v>
      </c>
      <c r="AF100">
        <v>0.18</v>
      </c>
      <c r="AH100" t="s">
        <v>118</v>
      </c>
      <c r="AI100">
        <v>0.18</v>
      </c>
      <c r="AK100" t="s">
        <v>118</v>
      </c>
      <c r="AL100">
        <v>0.18</v>
      </c>
      <c r="AN100" t="s">
        <v>118</v>
      </c>
      <c r="AO100">
        <v>0.18</v>
      </c>
      <c r="AQ100" t="s">
        <v>118</v>
      </c>
      <c r="AR100">
        <v>0.18</v>
      </c>
    </row>
    <row r="101" spans="4:44" x14ac:dyDescent="0.25">
      <c r="D101" t="s">
        <v>119</v>
      </c>
      <c r="E101">
        <v>-0.06</v>
      </c>
      <c r="G101" t="s">
        <v>119</v>
      </c>
      <c r="H101">
        <v>-0.06</v>
      </c>
      <c r="J101" t="s">
        <v>119</v>
      </c>
      <c r="K101">
        <v>-0.06</v>
      </c>
      <c r="M101" t="s">
        <v>119</v>
      </c>
      <c r="N101">
        <v>-0.06</v>
      </c>
      <c r="P101" t="s">
        <v>119</v>
      </c>
      <c r="Q101">
        <v>-0.11</v>
      </c>
      <c r="S101" t="s">
        <v>119</v>
      </c>
      <c r="T101">
        <v>-0.11</v>
      </c>
      <c r="V101" t="s">
        <v>119</v>
      </c>
      <c r="W101">
        <v>-0.11</v>
      </c>
      <c r="Y101" t="s">
        <v>119</v>
      </c>
      <c r="Z101">
        <v>-0.11</v>
      </c>
      <c r="AB101" t="s">
        <v>119</v>
      </c>
      <c r="AC101">
        <v>-0.1</v>
      </c>
      <c r="AE101" t="s">
        <v>119</v>
      </c>
      <c r="AF101">
        <v>-0.1</v>
      </c>
      <c r="AH101" t="s">
        <v>119</v>
      </c>
      <c r="AI101">
        <v>-0.1</v>
      </c>
      <c r="AK101" t="s">
        <v>119</v>
      </c>
      <c r="AL101">
        <v>-0.1</v>
      </c>
      <c r="AN101" t="s">
        <v>119</v>
      </c>
      <c r="AO101">
        <v>-0.1</v>
      </c>
      <c r="AQ101" t="s">
        <v>119</v>
      </c>
      <c r="AR101">
        <v>-0.1</v>
      </c>
    </row>
    <row r="102" spans="4:44" x14ac:dyDescent="0.25">
      <c r="D102" t="s">
        <v>120</v>
      </c>
      <c r="E102">
        <v>0.03</v>
      </c>
      <c r="G102" t="s">
        <v>120</v>
      </c>
      <c r="H102">
        <v>0.03</v>
      </c>
      <c r="J102" t="s">
        <v>120</v>
      </c>
      <c r="K102">
        <v>0.03</v>
      </c>
      <c r="M102" t="s">
        <v>120</v>
      </c>
      <c r="N102">
        <v>0.03</v>
      </c>
      <c r="P102" t="s">
        <v>120</v>
      </c>
      <c r="Q102">
        <v>0.16</v>
      </c>
      <c r="S102" t="s">
        <v>120</v>
      </c>
      <c r="T102">
        <v>0.16</v>
      </c>
      <c r="V102" t="s">
        <v>120</v>
      </c>
      <c r="W102">
        <v>0.16</v>
      </c>
      <c r="Y102" t="s">
        <v>120</v>
      </c>
      <c r="Z102">
        <v>0.16</v>
      </c>
      <c r="AB102" t="s">
        <v>120</v>
      </c>
      <c r="AC102">
        <v>0.1</v>
      </c>
      <c r="AE102" t="s">
        <v>120</v>
      </c>
      <c r="AF102">
        <v>0.1</v>
      </c>
      <c r="AH102" t="s">
        <v>120</v>
      </c>
      <c r="AI102">
        <v>0.1</v>
      </c>
      <c r="AK102" t="s">
        <v>120</v>
      </c>
      <c r="AL102">
        <v>0.1</v>
      </c>
      <c r="AN102" t="s">
        <v>120</v>
      </c>
      <c r="AO102">
        <v>0.1</v>
      </c>
      <c r="AQ102" t="s">
        <v>120</v>
      </c>
      <c r="AR102">
        <v>0.1</v>
      </c>
    </row>
    <row r="103" spans="4:44" x14ac:dyDescent="0.25">
      <c r="D103" t="s">
        <v>121</v>
      </c>
      <c r="E103">
        <v>1.08</v>
      </c>
      <c r="G103" t="s">
        <v>121</v>
      </c>
      <c r="H103">
        <v>1.08</v>
      </c>
      <c r="J103" t="s">
        <v>121</v>
      </c>
      <c r="K103">
        <v>1.08</v>
      </c>
      <c r="M103" t="s">
        <v>121</v>
      </c>
      <c r="N103">
        <v>1.08</v>
      </c>
      <c r="P103" t="s">
        <v>121</v>
      </c>
      <c r="Q103">
        <v>1.61</v>
      </c>
      <c r="S103" t="s">
        <v>121</v>
      </c>
      <c r="T103">
        <v>1.61</v>
      </c>
      <c r="V103" t="s">
        <v>121</v>
      </c>
      <c r="W103">
        <v>1.61</v>
      </c>
      <c r="Y103" t="s">
        <v>121</v>
      </c>
      <c r="Z103">
        <v>1.61</v>
      </c>
      <c r="AB103" t="s">
        <v>121</v>
      </c>
      <c r="AC103">
        <v>1.39</v>
      </c>
      <c r="AE103" t="s">
        <v>121</v>
      </c>
      <c r="AF103">
        <v>1.39</v>
      </c>
      <c r="AH103" t="s">
        <v>121</v>
      </c>
      <c r="AI103">
        <v>1.39</v>
      </c>
      <c r="AK103" t="s">
        <v>121</v>
      </c>
      <c r="AL103">
        <v>1.39</v>
      </c>
      <c r="AN103" t="s">
        <v>121</v>
      </c>
      <c r="AO103">
        <v>1.39</v>
      </c>
      <c r="AQ103" t="s">
        <v>121</v>
      </c>
      <c r="AR103">
        <v>1.39</v>
      </c>
    </row>
    <row r="104" spans="4:44" x14ac:dyDescent="0.25">
      <c r="D104" t="s">
        <v>122</v>
      </c>
      <c r="E104">
        <v>-0.06</v>
      </c>
      <c r="G104" t="s">
        <v>122</v>
      </c>
      <c r="H104">
        <v>-0.06</v>
      </c>
      <c r="J104" t="s">
        <v>122</v>
      </c>
      <c r="K104">
        <v>-0.06</v>
      </c>
      <c r="M104" t="s">
        <v>122</v>
      </c>
      <c r="N104">
        <v>-0.06</v>
      </c>
      <c r="P104" t="s">
        <v>122</v>
      </c>
      <c r="Q104">
        <v>-0.11</v>
      </c>
      <c r="S104" t="s">
        <v>122</v>
      </c>
      <c r="T104">
        <v>-0.11</v>
      </c>
      <c r="V104" t="s">
        <v>122</v>
      </c>
      <c r="W104">
        <v>-0.11</v>
      </c>
      <c r="Y104" t="s">
        <v>122</v>
      </c>
      <c r="Z104">
        <v>-0.11</v>
      </c>
      <c r="AB104" t="s">
        <v>122</v>
      </c>
      <c r="AC104">
        <v>-0.1</v>
      </c>
      <c r="AE104" t="s">
        <v>122</v>
      </c>
      <c r="AF104">
        <v>-0.1</v>
      </c>
      <c r="AH104" t="s">
        <v>122</v>
      </c>
      <c r="AI104">
        <v>-0.1</v>
      </c>
      <c r="AK104" t="s">
        <v>122</v>
      </c>
      <c r="AL104">
        <v>-0.1</v>
      </c>
      <c r="AN104" t="s">
        <v>122</v>
      </c>
      <c r="AO104">
        <v>-0.1</v>
      </c>
      <c r="AQ104" t="s">
        <v>122</v>
      </c>
      <c r="AR104">
        <v>-0.1</v>
      </c>
    </row>
    <row r="105" spans="4:44" x14ac:dyDescent="0.25">
      <c r="D105" t="s">
        <v>123</v>
      </c>
      <c r="E105">
        <v>-0.65</v>
      </c>
      <c r="G105" t="s">
        <v>123</v>
      </c>
      <c r="H105">
        <v>-0.65</v>
      </c>
      <c r="J105" t="s">
        <v>123</v>
      </c>
      <c r="K105">
        <v>-0.65</v>
      </c>
      <c r="M105" t="s">
        <v>123</v>
      </c>
      <c r="N105">
        <v>-0.65</v>
      </c>
      <c r="P105" t="s">
        <v>123</v>
      </c>
      <c r="Q105">
        <v>-0.93</v>
      </c>
      <c r="S105" t="s">
        <v>123</v>
      </c>
      <c r="T105">
        <v>-0.93</v>
      </c>
      <c r="V105" t="s">
        <v>123</v>
      </c>
      <c r="W105">
        <v>-0.93</v>
      </c>
      <c r="Y105" t="s">
        <v>123</v>
      </c>
      <c r="Z105">
        <v>-0.93</v>
      </c>
      <c r="AB105" t="s">
        <v>123</v>
      </c>
      <c r="AC105">
        <v>-0.83</v>
      </c>
      <c r="AE105" t="s">
        <v>123</v>
      </c>
      <c r="AF105">
        <v>-0.83</v>
      </c>
      <c r="AH105" t="s">
        <v>123</v>
      </c>
      <c r="AI105">
        <v>-0.83</v>
      </c>
      <c r="AK105" t="s">
        <v>123</v>
      </c>
      <c r="AL105">
        <v>-0.83</v>
      </c>
      <c r="AN105" t="s">
        <v>123</v>
      </c>
      <c r="AO105">
        <v>-0.83</v>
      </c>
      <c r="AQ105" t="s">
        <v>123</v>
      </c>
      <c r="AR105">
        <v>-0.83</v>
      </c>
    </row>
    <row r="106" spans="4:44" x14ac:dyDescent="0.25">
      <c r="D106" t="s">
        <v>124</v>
      </c>
      <c r="E106">
        <v>-5.29</v>
      </c>
      <c r="G106" t="s">
        <v>124</v>
      </c>
      <c r="H106">
        <v>-5.29</v>
      </c>
      <c r="J106" t="s">
        <v>124</v>
      </c>
      <c r="K106">
        <v>-5.29</v>
      </c>
      <c r="M106" t="s">
        <v>124</v>
      </c>
      <c r="N106">
        <v>-5.29</v>
      </c>
      <c r="P106" t="s">
        <v>124</v>
      </c>
      <c r="Q106">
        <v>-4.5199999999999996</v>
      </c>
      <c r="S106" t="s">
        <v>124</v>
      </c>
      <c r="T106">
        <v>-4.5199999999999996</v>
      </c>
      <c r="V106" t="s">
        <v>124</v>
      </c>
      <c r="W106">
        <v>-4.5199999999999996</v>
      </c>
      <c r="Y106" t="s">
        <v>124</v>
      </c>
      <c r="Z106">
        <v>-4.5199999999999996</v>
      </c>
      <c r="AB106" t="s">
        <v>124</v>
      </c>
      <c r="AC106">
        <v>-6.28</v>
      </c>
      <c r="AE106" t="s">
        <v>124</v>
      </c>
      <c r="AF106">
        <v>-6.28</v>
      </c>
      <c r="AH106" t="s">
        <v>124</v>
      </c>
      <c r="AI106">
        <v>-6.28</v>
      </c>
      <c r="AK106" t="s">
        <v>124</v>
      </c>
      <c r="AL106">
        <v>-6.28</v>
      </c>
      <c r="AN106" t="s">
        <v>124</v>
      </c>
      <c r="AO106">
        <v>-6.28</v>
      </c>
      <c r="AQ106" t="s">
        <v>124</v>
      </c>
      <c r="AR106">
        <v>-6.28</v>
      </c>
    </row>
    <row r="107" spans="4:44" x14ac:dyDescent="0.25">
      <c r="D107" t="s">
        <v>332</v>
      </c>
      <c r="E107">
        <v>55.31</v>
      </c>
      <c r="G107" t="s">
        <v>332</v>
      </c>
      <c r="H107">
        <v>55.31</v>
      </c>
      <c r="J107" t="s">
        <v>332</v>
      </c>
      <c r="K107">
        <v>55.31</v>
      </c>
      <c r="M107" t="s">
        <v>332</v>
      </c>
      <c r="N107">
        <v>55.31</v>
      </c>
      <c r="P107" t="s">
        <v>332</v>
      </c>
      <c r="Q107">
        <v>46.88</v>
      </c>
      <c r="S107" t="s">
        <v>332</v>
      </c>
      <c r="T107">
        <v>40.049999999999997</v>
      </c>
      <c r="V107" t="s">
        <v>332</v>
      </c>
      <c r="W107">
        <v>42.8</v>
      </c>
      <c r="Y107" t="s">
        <v>332</v>
      </c>
      <c r="Z107">
        <v>37.229999999999997</v>
      </c>
      <c r="AB107" t="s">
        <v>332</v>
      </c>
      <c r="AC107">
        <v>46.9</v>
      </c>
      <c r="AE107" t="s">
        <v>332</v>
      </c>
      <c r="AF107">
        <v>39.92</v>
      </c>
      <c r="AH107" t="s">
        <v>332</v>
      </c>
      <c r="AI107">
        <v>42.48</v>
      </c>
      <c r="AK107" t="s">
        <v>332</v>
      </c>
      <c r="AL107">
        <v>37.119999999999997</v>
      </c>
      <c r="AN107" t="s">
        <v>332</v>
      </c>
      <c r="AO107">
        <v>60.21</v>
      </c>
      <c r="AQ107" t="s">
        <v>332</v>
      </c>
      <c r="AR107">
        <v>60.54</v>
      </c>
    </row>
    <row r="108" spans="4:44" x14ac:dyDescent="0.25">
      <c r="D108" t="s">
        <v>333</v>
      </c>
      <c r="E108">
        <v>23.2</v>
      </c>
      <c r="G108" t="s">
        <v>333</v>
      </c>
      <c r="H108">
        <v>23.2</v>
      </c>
      <c r="J108" t="s">
        <v>333</v>
      </c>
      <c r="K108">
        <v>23.2</v>
      </c>
      <c r="M108" t="s">
        <v>333</v>
      </c>
      <c r="N108">
        <v>23.2</v>
      </c>
      <c r="P108" t="s">
        <v>333</v>
      </c>
      <c r="Q108">
        <v>26.76</v>
      </c>
      <c r="S108" t="s">
        <v>333</v>
      </c>
      <c r="T108">
        <v>26.76</v>
      </c>
      <c r="V108" t="s">
        <v>333</v>
      </c>
      <c r="W108">
        <v>26.76</v>
      </c>
      <c r="Y108" t="s">
        <v>333</v>
      </c>
      <c r="Z108">
        <v>26.76</v>
      </c>
      <c r="AB108" t="s">
        <v>333</v>
      </c>
      <c r="AC108">
        <v>28.29</v>
      </c>
      <c r="AE108" t="s">
        <v>333</v>
      </c>
      <c r="AF108">
        <v>28.29</v>
      </c>
      <c r="AH108" t="s">
        <v>333</v>
      </c>
      <c r="AI108">
        <v>28.29</v>
      </c>
      <c r="AK108" t="s">
        <v>333</v>
      </c>
      <c r="AL108">
        <v>28.29</v>
      </c>
      <c r="AN108" t="s">
        <v>333</v>
      </c>
      <c r="AO108">
        <v>28.29</v>
      </c>
      <c r="AQ108" t="s">
        <v>333</v>
      </c>
      <c r="AR108">
        <v>28.29</v>
      </c>
    </row>
    <row r="109" spans="4:44" x14ac:dyDescent="0.25">
      <c r="D109" t="s">
        <v>125</v>
      </c>
      <c r="E109">
        <v>0.06</v>
      </c>
      <c r="G109" t="s">
        <v>125</v>
      </c>
      <c r="H109">
        <v>0.06</v>
      </c>
      <c r="J109" t="s">
        <v>125</v>
      </c>
      <c r="K109">
        <v>0.06</v>
      </c>
      <c r="M109" t="s">
        <v>125</v>
      </c>
      <c r="N109">
        <v>0.06</v>
      </c>
      <c r="P109" t="s">
        <v>125</v>
      </c>
      <c r="Q109">
        <v>0.08</v>
      </c>
      <c r="S109" t="s">
        <v>125</v>
      </c>
      <c r="T109">
        <v>0.08</v>
      </c>
      <c r="V109" t="s">
        <v>125</v>
      </c>
      <c r="W109">
        <v>0.08</v>
      </c>
      <c r="Y109" t="s">
        <v>125</v>
      </c>
      <c r="Z109">
        <v>0.08</v>
      </c>
      <c r="AB109" t="s">
        <v>125</v>
      </c>
      <c r="AC109">
        <v>7.0000000000000007E-2</v>
      </c>
      <c r="AE109" t="s">
        <v>125</v>
      </c>
      <c r="AF109">
        <v>7.0000000000000007E-2</v>
      </c>
      <c r="AH109" t="s">
        <v>125</v>
      </c>
      <c r="AI109">
        <v>7.0000000000000007E-2</v>
      </c>
      <c r="AK109" t="s">
        <v>125</v>
      </c>
      <c r="AL109">
        <v>7.0000000000000007E-2</v>
      </c>
      <c r="AN109" t="s">
        <v>125</v>
      </c>
      <c r="AO109">
        <v>7.0000000000000007E-2</v>
      </c>
      <c r="AQ109" t="s">
        <v>125</v>
      </c>
      <c r="AR109">
        <v>7.0000000000000007E-2</v>
      </c>
    </row>
    <row r="110" spans="4:44" x14ac:dyDescent="0.25">
      <c r="D110" t="s">
        <v>126</v>
      </c>
      <c r="E110">
        <v>0.18</v>
      </c>
      <c r="G110" t="s">
        <v>126</v>
      </c>
      <c r="H110">
        <v>0.18</v>
      </c>
      <c r="J110" t="s">
        <v>126</v>
      </c>
      <c r="K110">
        <v>0.18</v>
      </c>
      <c r="M110" t="s">
        <v>126</v>
      </c>
      <c r="N110">
        <v>0.18</v>
      </c>
      <c r="P110" t="s">
        <v>126</v>
      </c>
      <c r="Q110">
        <v>0.25</v>
      </c>
      <c r="S110" t="s">
        <v>126</v>
      </c>
      <c r="T110">
        <v>0.25</v>
      </c>
      <c r="V110" t="s">
        <v>126</v>
      </c>
      <c r="W110">
        <v>0.25</v>
      </c>
      <c r="Y110" t="s">
        <v>126</v>
      </c>
      <c r="Z110">
        <v>0.25</v>
      </c>
      <c r="AB110" t="s">
        <v>126</v>
      </c>
      <c r="AC110">
        <v>0.22</v>
      </c>
      <c r="AE110" t="s">
        <v>126</v>
      </c>
      <c r="AF110">
        <v>0.22</v>
      </c>
      <c r="AH110" t="s">
        <v>126</v>
      </c>
      <c r="AI110">
        <v>0.22</v>
      </c>
      <c r="AK110" t="s">
        <v>126</v>
      </c>
      <c r="AL110">
        <v>0.22</v>
      </c>
      <c r="AN110" t="s">
        <v>126</v>
      </c>
      <c r="AO110">
        <v>0.22</v>
      </c>
      <c r="AQ110" t="s">
        <v>126</v>
      </c>
      <c r="AR110">
        <v>0.22</v>
      </c>
    </row>
    <row r="111" spans="4:44" x14ac:dyDescent="0.25">
      <c r="D111" t="s">
        <v>127</v>
      </c>
      <c r="E111">
        <v>0.27</v>
      </c>
      <c r="G111" t="s">
        <v>127</v>
      </c>
      <c r="H111">
        <v>0.27</v>
      </c>
      <c r="J111" t="s">
        <v>127</v>
      </c>
      <c r="K111">
        <v>0.27</v>
      </c>
      <c r="M111" t="s">
        <v>127</v>
      </c>
      <c r="N111">
        <v>0.27</v>
      </c>
      <c r="P111" t="s">
        <v>127</v>
      </c>
      <c r="Q111">
        <v>0.41</v>
      </c>
      <c r="S111" t="s">
        <v>127</v>
      </c>
      <c r="T111">
        <v>0.41</v>
      </c>
      <c r="V111" t="s">
        <v>127</v>
      </c>
      <c r="W111">
        <v>0.41</v>
      </c>
      <c r="Y111" t="s">
        <v>127</v>
      </c>
      <c r="Z111">
        <v>0.41</v>
      </c>
      <c r="AB111" t="s">
        <v>127</v>
      </c>
      <c r="AC111">
        <v>0.37</v>
      </c>
      <c r="AE111" t="s">
        <v>127</v>
      </c>
      <c r="AF111">
        <v>0.37</v>
      </c>
      <c r="AH111" t="s">
        <v>127</v>
      </c>
      <c r="AI111">
        <v>0.37</v>
      </c>
      <c r="AK111" t="s">
        <v>127</v>
      </c>
      <c r="AL111">
        <v>0.37</v>
      </c>
      <c r="AN111" t="s">
        <v>127</v>
      </c>
      <c r="AO111">
        <v>0.37</v>
      </c>
      <c r="AQ111" t="s">
        <v>127</v>
      </c>
      <c r="AR111">
        <v>0.37</v>
      </c>
    </row>
    <row r="112" spans="4:44" x14ac:dyDescent="0.25">
      <c r="D112" t="s">
        <v>128</v>
      </c>
      <c r="E112">
        <v>0.27</v>
      </c>
      <c r="G112" t="s">
        <v>128</v>
      </c>
      <c r="H112">
        <v>0.27</v>
      </c>
      <c r="J112" t="s">
        <v>128</v>
      </c>
      <c r="K112">
        <v>0.27</v>
      </c>
      <c r="M112" t="s">
        <v>128</v>
      </c>
      <c r="N112">
        <v>0.27</v>
      </c>
      <c r="P112" t="s">
        <v>128</v>
      </c>
      <c r="Q112">
        <v>0.41</v>
      </c>
      <c r="S112" t="s">
        <v>128</v>
      </c>
      <c r="T112">
        <v>0.41</v>
      </c>
      <c r="V112" t="s">
        <v>128</v>
      </c>
      <c r="W112">
        <v>0.41</v>
      </c>
      <c r="Y112" t="s">
        <v>128</v>
      </c>
      <c r="Z112">
        <v>0.41</v>
      </c>
      <c r="AB112" t="s">
        <v>128</v>
      </c>
      <c r="AC112">
        <v>0.37</v>
      </c>
      <c r="AE112" t="s">
        <v>128</v>
      </c>
      <c r="AF112">
        <v>0.37</v>
      </c>
      <c r="AH112" t="s">
        <v>128</v>
      </c>
      <c r="AI112">
        <v>0.37</v>
      </c>
      <c r="AK112" t="s">
        <v>128</v>
      </c>
      <c r="AL112">
        <v>0.37</v>
      </c>
      <c r="AN112" t="s">
        <v>128</v>
      </c>
      <c r="AO112">
        <v>0.37</v>
      </c>
      <c r="AQ112" t="s">
        <v>128</v>
      </c>
      <c r="AR112">
        <v>0.37</v>
      </c>
    </row>
    <row r="113" spans="4:44" x14ac:dyDescent="0.25">
      <c r="D113" t="s">
        <v>129</v>
      </c>
      <c r="E113">
        <v>0.27</v>
      </c>
      <c r="G113" t="s">
        <v>129</v>
      </c>
      <c r="H113">
        <v>0.27</v>
      </c>
      <c r="J113" t="s">
        <v>129</v>
      </c>
      <c r="K113">
        <v>0.27</v>
      </c>
      <c r="M113" t="s">
        <v>129</v>
      </c>
      <c r="N113">
        <v>0.27</v>
      </c>
      <c r="P113" t="s">
        <v>129</v>
      </c>
      <c r="Q113">
        <v>0.41</v>
      </c>
      <c r="S113" t="s">
        <v>129</v>
      </c>
      <c r="T113">
        <v>0.41</v>
      </c>
      <c r="V113" t="s">
        <v>129</v>
      </c>
      <c r="W113">
        <v>0.41</v>
      </c>
      <c r="Y113" t="s">
        <v>129</v>
      </c>
      <c r="Z113">
        <v>0.41</v>
      </c>
      <c r="AB113" t="s">
        <v>129</v>
      </c>
      <c r="AC113">
        <v>0.37</v>
      </c>
      <c r="AE113" t="s">
        <v>129</v>
      </c>
      <c r="AF113">
        <v>0.37</v>
      </c>
      <c r="AH113" t="s">
        <v>129</v>
      </c>
      <c r="AI113">
        <v>0.37</v>
      </c>
      <c r="AK113" t="s">
        <v>129</v>
      </c>
      <c r="AL113">
        <v>0.37</v>
      </c>
      <c r="AN113" t="s">
        <v>129</v>
      </c>
      <c r="AO113">
        <v>0.37</v>
      </c>
      <c r="AQ113" t="s">
        <v>129</v>
      </c>
      <c r="AR113">
        <v>0.37</v>
      </c>
    </row>
    <row r="114" spans="4:44" x14ac:dyDescent="0.25">
      <c r="D114" t="s">
        <v>130</v>
      </c>
      <c r="E114">
        <v>1.98</v>
      </c>
      <c r="G114" t="s">
        <v>130</v>
      </c>
      <c r="H114">
        <v>1.98</v>
      </c>
      <c r="J114" t="s">
        <v>130</v>
      </c>
      <c r="K114">
        <v>1.98</v>
      </c>
      <c r="M114" t="s">
        <v>130</v>
      </c>
      <c r="N114">
        <v>1.98</v>
      </c>
      <c r="P114" t="s">
        <v>130</v>
      </c>
      <c r="Q114">
        <v>2.76</v>
      </c>
      <c r="S114" t="s">
        <v>130</v>
      </c>
      <c r="T114">
        <v>2.76</v>
      </c>
      <c r="V114" t="s">
        <v>130</v>
      </c>
      <c r="W114">
        <v>2.76</v>
      </c>
      <c r="Y114" t="s">
        <v>130</v>
      </c>
      <c r="Z114">
        <v>2.76</v>
      </c>
      <c r="AB114" t="s">
        <v>130</v>
      </c>
      <c r="AC114">
        <v>2.44</v>
      </c>
      <c r="AE114" t="s">
        <v>130</v>
      </c>
      <c r="AF114">
        <v>2.44</v>
      </c>
      <c r="AH114" t="s">
        <v>130</v>
      </c>
      <c r="AI114">
        <v>2.44</v>
      </c>
      <c r="AK114" t="s">
        <v>130</v>
      </c>
      <c r="AL114">
        <v>2.44</v>
      </c>
      <c r="AN114" t="s">
        <v>130</v>
      </c>
      <c r="AO114">
        <v>2.44</v>
      </c>
      <c r="AQ114" t="s">
        <v>130</v>
      </c>
      <c r="AR114">
        <v>2.44</v>
      </c>
    </row>
    <row r="115" spans="4:44" x14ac:dyDescent="0.25">
      <c r="D115" t="s">
        <v>364</v>
      </c>
      <c r="E115">
        <v>0</v>
      </c>
      <c r="G115" t="s">
        <v>364</v>
      </c>
      <c r="H115">
        <v>0</v>
      </c>
      <c r="J115" t="s">
        <v>364</v>
      </c>
      <c r="K115">
        <v>0</v>
      </c>
      <c r="M115" t="s">
        <v>364</v>
      </c>
      <c r="N115">
        <v>0</v>
      </c>
      <c r="P115" t="s">
        <v>364</v>
      </c>
      <c r="Q115">
        <v>0</v>
      </c>
      <c r="S115" t="s">
        <v>364</v>
      </c>
      <c r="T115">
        <v>0</v>
      </c>
      <c r="V115" t="s">
        <v>364</v>
      </c>
      <c r="W115">
        <v>0</v>
      </c>
      <c r="Y115" t="s">
        <v>364</v>
      </c>
      <c r="Z115">
        <v>0</v>
      </c>
      <c r="AB115" t="s">
        <v>364</v>
      </c>
      <c r="AC115">
        <v>0</v>
      </c>
      <c r="AE115" t="s">
        <v>364</v>
      </c>
      <c r="AF115">
        <v>0</v>
      </c>
      <c r="AH115" t="s">
        <v>364</v>
      </c>
      <c r="AI115">
        <v>0</v>
      </c>
      <c r="AK115" t="s">
        <v>364</v>
      </c>
      <c r="AL115">
        <v>0</v>
      </c>
      <c r="AN115" t="s">
        <v>364</v>
      </c>
      <c r="AO115">
        <v>0</v>
      </c>
      <c r="AQ115" t="s">
        <v>364</v>
      </c>
      <c r="AR115">
        <v>0</v>
      </c>
    </row>
    <row r="116" spans="4:44" x14ac:dyDescent="0.25">
      <c r="D116" t="s">
        <v>131</v>
      </c>
      <c r="E116">
        <v>14.77</v>
      </c>
      <c r="G116" t="s">
        <v>131</v>
      </c>
      <c r="H116">
        <v>14.77</v>
      </c>
      <c r="J116" t="s">
        <v>131</v>
      </c>
      <c r="K116">
        <v>14.77</v>
      </c>
      <c r="M116" t="s">
        <v>131</v>
      </c>
      <c r="N116">
        <v>14.77</v>
      </c>
      <c r="P116" t="s">
        <v>131</v>
      </c>
      <c r="Q116">
        <v>20.68</v>
      </c>
      <c r="S116" t="s">
        <v>131</v>
      </c>
      <c r="T116">
        <v>20.68</v>
      </c>
      <c r="V116" t="s">
        <v>131</v>
      </c>
      <c r="W116">
        <v>20.68</v>
      </c>
      <c r="Y116" t="s">
        <v>131</v>
      </c>
      <c r="Z116">
        <v>20.68</v>
      </c>
      <c r="AB116" t="s">
        <v>131</v>
      </c>
      <c r="AC116">
        <v>18.41</v>
      </c>
      <c r="AE116" t="s">
        <v>131</v>
      </c>
      <c r="AF116">
        <v>18.41</v>
      </c>
      <c r="AH116" t="s">
        <v>131</v>
      </c>
      <c r="AI116">
        <v>18.41</v>
      </c>
      <c r="AK116" t="s">
        <v>131</v>
      </c>
      <c r="AL116">
        <v>18.41</v>
      </c>
      <c r="AN116" t="s">
        <v>131</v>
      </c>
      <c r="AO116">
        <v>18.41</v>
      </c>
      <c r="AQ116" t="s">
        <v>131</v>
      </c>
      <c r="AR116">
        <v>18.41</v>
      </c>
    </row>
    <row r="117" spans="4:44" x14ac:dyDescent="0.25">
      <c r="D117" t="s">
        <v>132</v>
      </c>
      <c r="E117">
        <v>82.85</v>
      </c>
      <c r="G117" t="s">
        <v>132</v>
      </c>
      <c r="H117">
        <v>82.85</v>
      </c>
      <c r="J117" t="s">
        <v>132</v>
      </c>
      <c r="K117">
        <v>82.85</v>
      </c>
      <c r="M117" t="s">
        <v>132</v>
      </c>
      <c r="N117">
        <v>82.85</v>
      </c>
      <c r="P117" t="s">
        <v>132</v>
      </c>
      <c r="Q117">
        <v>60.4</v>
      </c>
      <c r="S117" t="s">
        <v>132</v>
      </c>
      <c r="T117">
        <v>46.73</v>
      </c>
      <c r="V117" t="s">
        <v>132</v>
      </c>
      <c r="W117">
        <v>52.24</v>
      </c>
      <c r="Y117" t="s">
        <v>132</v>
      </c>
      <c r="Z117">
        <v>41.09</v>
      </c>
      <c r="AB117" t="s">
        <v>132</v>
      </c>
      <c r="AC117">
        <v>59.68</v>
      </c>
      <c r="AE117" t="s">
        <v>132</v>
      </c>
      <c r="AF117">
        <v>45.74</v>
      </c>
      <c r="AH117" t="s">
        <v>132</v>
      </c>
      <c r="AI117">
        <v>50.85</v>
      </c>
      <c r="AK117" t="s">
        <v>132</v>
      </c>
      <c r="AL117">
        <v>40.119999999999997</v>
      </c>
      <c r="AN117" t="s">
        <v>132</v>
      </c>
      <c r="AO117">
        <v>86.31</v>
      </c>
      <c r="AQ117" t="s">
        <v>132</v>
      </c>
      <c r="AR117">
        <v>86.96</v>
      </c>
    </row>
    <row r="118" spans="4:44" x14ac:dyDescent="0.25">
      <c r="D118" t="s">
        <v>334</v>
      </c>
      <c r="E118">
        <v>-85.67</v>
      </c>
      <c r="G118" t="s">
        <v>334</v>
      </c>
      <c r="H118">
        <v>-85.67</v>
      </c>
      <c r="J118" t="s">
        <v>334</v>
      </c>
      <c r="K118">
        <v>-85.67</v>
      </c>
      <c r="M118" t="s">
        <v>334</v>
      </c>
      <c r="N118">
        <v>-85.67</v>
      </c>
      <c r="P118" t="s">
        <v>334</v>
      </c>
      <c r="Q118">
        <v>-79.760000000000005</v>
      </c>
      <c r="S118" t="s">
        <v>334</v>
      </c>
      <c r="T118">
        <v>-72.92</v>
      </c>
      <c r="V118" t="s">
        <v>334</v>
      </c>
      <c r="W118">
        <v>-75.680000000000007</v>
      </c>
      <c r="Y118" t="s">
        <v>334</v>
      </c>
      <c r="Z118">
        <v>-70.099999999999994</v>
      </c>
      <c r="AB118" t="s">
        <v>334</v>
      </c>
      <c r="AC118">
        <v>-81.349999999999994</v>
      </c>
      <c r="AE118" t="s">
        <v>334</v>
      </c>
      <c r="AF118">
        <v>-74.38</v>
      </c>
      <c r="AH118" t="s">
        <v>334</v>
      </c>
      <c r="AI118">
        <v>-76.94</v>
      </c>
      <c r="AK118" t="s">
        <v>334</v>
      </c>
      <c r="AL118">
        <v>-71.569999999999993</v>
      </c>
      <c r="AN118" t="s">
        <v>334</v>
      </c>
      <c r="AO118">
        <v>-94.67</v>
      </c>
      <c r="AQ118" t="s">
        <v>334</v>
      </c>
      <c r="AR118">
        <v>-94.99</v>
      </c>
    </row>
    <row r="119" spans="4:44" x14ac:dyDescent="0.25">
      <c r="D119" t="s">
        <v>133</v>
      </c>
      <c r="E119">
        <v>207.52</v>
      </c>
      <c r="G119" t="s">
        <v>133</v>
      </c>
      <c r="H119">
        <v>207.52</v>
      </c>
      <c r="J119" t="s">
        <v>133</v>
      </c>
      <c r="K119">
        <v>207.52</v>
      </c>
      <c r="M119" t="s">
        <v>133</v>
      </c>
      <c r="N119">
        <v>207.52</v>
      </c>
      <c r="P119" t="s">
        <v>133</v>
      </c>
      <c r="Q119">
        <v>191.58</v>
      </c>
      <c r="S119" t="s">
        <v>133</v>
      </c>
      <c r="T119">
        <v>171.07</v>
      </c>
      <c r="V119" t="s">
        <v>133</v>
      </c>
      <c r="W119">
        <v>179.34</v>
      </c>
      <c r="Y119" t="s">
        <v>133</v>
      </c>
      <c r="Z119">
        <v>162.61000000000001</v>
      </c>
      <c r="AB119" t="s">
        <v>133</v>
      </c>
      <c r="AC119">
        <v>189.19</v>
      </c>
      <c r="AE119" t="s">
        <v>133</v>
      </c>
      <c r="AF119">
        <v>168.27</v>
      </c>
      <c r="AH119" t="s">
        <v>133</v>
      </c>
      <c r="AI119">
        <v>175.94</v>
      </c>
      <c r="AK119" t="s">
        <v>133</v>
      </c>
      <c r="AL119">
        <v>159.85</v>
      </c>
      <c r="AN119" t="s">
        <v>133</v>
      </c>
      <c r="AO119">
        <v>134.47</v>
      </c>
      <c r="AQ119" t="s">
        <v>133</v>
      </c>
      <c r="AR119">
        <v>230.12</v>
      </c>
    </row>
    <row r="120" spans="4:44" x14ac:dyDescent="0.25">
      <c r="D120" t="s">
        <v>135</v>
      </c>
      <c r="E120">
        <v>14.39</v>
      </c>
      <c r="G120" t="s">
        <v>135</v>
      </c>
      <c r="H120">
        <v>14.39</v>
      </c>
      <c r="J120" t="s">
        <v>135</v>
      </c>
      <c r="K120">
        <v>14.39</v>
      </c>
      <c r="M120" t="s">
        <v>135</v>
      </c>
      <c r="N120">
        <v>14.39</v>
      </c>
      <c r="P120" t="s">
        <v>135</v>
      </c>
      <c r="Q120">
        <v>20.149999999999999</v>
      </c>
      <c r="S120" t="s">
        <v>135</v>
      </c>
      <c r="T120">
        <v>20.149999999999999</v>
      </c>
      <c r="V120" t="s">
        <v>135</v>
      </c>
      <c r="W120">
        <v>20.149999999999999</v>
      </c>
      <c r="Y120" t="s">
        <v>135</v>
      </c>
      <c r="Z120">
        <v>20.149999999999999</v>
      </c>
      <c r="AB120" t="s">
        <v>135</v>
      </c>
      <c r="AC120">
        <v>17.95</v>
      </c>
      <c r="AE120" t="s">
        <v>135</v>
      </c>
      <c r="AF120">
        <v>17.95</v>
      </c>
      <c r="AH120" t="s">
        <v>135</v>
      </c>
      <c r="AI120">
        <v>17.95</v>
      </c>
      <c r="AK120" t="s">
        <v>135</v>
      </c>
      <c r="AL120">
        <v>17.95</v>
      </c>
      <c r="AN120" t="s">
        <v>135</v>
      </c>
      <c r="AO120">
        <v>17.95</v>
      </c>
      <c r="AQ120" t="s">
        <v>135</v>
      </c>
      <c r="AR120">
        <v>17.95</v>
      </c>
    </row>
    <row r="121" spans="4:44" x14ac:dyDescent="0.25">
      <c r="D121" t="s">
        <v>136</v>
      </c>
      <c r="E121">
        <v>162.87</v>
      </c>
      <c r="G121" t="s">
        <v>136</v>
      </c>
      <c r="H121">
        <v>162.87</v>
      </c>
      <c r="J121" t="s">
        <v>136</v>
      </c>
      <c r="K121">
        <v>162.87</v>
      </c>
      <c r="M121" t="s">
        <v>136</v>
      </c>
      <c r="N121">
        <v>162.87</v>
      </c>
      <c r="P121" t="s">
        <v>136</v>
      </c>
      <c r="Q121">
        <v>135.76</v>
      </c>
      <c r="S121" t="s">
        <v>136</v>
      </c>
      <c r="T121">
        <v>115.25</v>
      </c>
      <c r="V121" t="s">
        <v>136</v>
      </c>
      <c r="W121">
        <v>123.51</v>
      </c>
      <c r="Y121" t="s">
        <v>136</v>
      </c>
      <c r="Z121">
        <v>106.79</v>
      </c>
      <c r="AB121" t="s">
        <v>136</v>
      </c>
      <c r="AC121">
        <v>136.54</v>
      </c>
      <c r="AE121" t="s">
        <v>136</v>
      </c>
      <c r="AF121">
        <v>115.62</v>
      </c>
      <c r="AH121" t="s">
        <v>136</v>
      </c>
      <c r="AI121">
        <v>123.29</v>
      </c>
      <c r="AK121" t="s">
        <v>136</v>
      </c>
      <c r="AL121">
        <v>107.19</v>
      </c>
      <c r="AN121" t="s">
        <v>136</v>
      </c>
      <c r="AO121">
        <v>223.81</v>
      </c>
      <c r="AQ121" t="s">
        <v>136</v>
      </c>
      <c r="AR121">
        <v>177.46</v>
      </c>
    </row>
    <row r="122" spans="4:44" x14ac:dyDescent="0.25">
      <c r="D122" t="s">
        <v>137</v>
      </c>
      <c r="E122">
        <v>0.67</v>
      </c>
      <c r="G122" t="s">
        <v>137</v>
      </c>
      <c r="H122">
        <v>0.67</v>
      </c>
      <c r="J122" t="s">
        <v>137</v>
      </c>
      <c r="K122">
        <v>0.67</v>
      </c>
      <c r="M122" t="s">
        <v>137</v>
      </c>
      <c r="N122">
        <v>0.67</v>
      </c>
      <c r="P122" t="s">
        <v>137</v>
      </c>
      <c r="Q122">
        <v>0.91</v>
      </c>
      <c r="S122" t="s">
        <v>137</v>
      </c>
      <c r="T122">
        <v>0.91</v>
      </c>
      <c r="V122" t="s">
        <v>137</v>
      </c>
      <c r="W122">
        <v>0.91</v>
      </c>
      <c r="Y122" t="s">
        <v>137</v>
      </c>
      <c r="Z122">
        <v>0.91</v>
      </c>
      <c r="AB122" t="s">
        <v>137</v>
      </c>
      <c r="AC122">
        <v>0.84</v>
      </c>
      <c r="AE122" t="s">
        <v>137</v>
      </c>
      <c r="AF122">
        <v>0.84</v>
      </c>
      <c r="AH122" t="s">
        <v>137</v>
      </c>
      <c r="AI122">
        <v>0.84</v>
      </c>
      <c r="AK122" t="s">
        <v>137</v>
      </c>
      <c r="AL122">
        <v>0.84</v>
      </c>
      <c r="AN122" t="s">
        <v>137</v>
      </c>
      <c r="AO122">
        <v>0.84</v>
      </c>
      <c r="AQ122" t="s">
        <v>137</v>
      </c>
      <c r="AR122">
        <v>0.84</v>
      </c>
    </row>
    <row r="123" spans="4:44" x14ac:dyDescent="0.25">
      <c r="D123" t="s">
        <v>138</v>
      </c>
      <c r="E123">
        <v>0.12</v>
      </c>
      <c r="G123" t="s">
        <v>138</v>
      </c>
      <c r="H123">
        <v>0.12</v>
      </c>
      <c r="J123" t="s">
        <v>138</v>
      </c>
      <c r="K123">
        <v>0.12</v>
      </c>
      <c r="M123" t="s">
        <v>138</v>
      </c>
      <c r="N123">
        <v>0.12</v>
      </c>
      <c r="P123" t="s">
        <v>138</v>
      </c>
      <c r="Q123">
        <v>0.16</v>
      </c>
      <c r="S123" t="s">
        <v>138</v>
      </c>
      <c r="T123">
        <v>0.16</v>
      </c>
      <c r="V123" t="s">
        <v>138</v>
      </c>
      <c r="W123">
        <v>0.16</v>
      </c>
      <c r="Y123" t="s">
        <v>138</v>
      </c>
      <c r="Z123">
        <v>0.16</v>
      </c>
      <c r="AB123" t="s">
        <v>138</v>
      </c>
      <c r="AC123">
        <v>0.15</v>
      </c>
      <c r="AE123" t="s">
        <v>138</v>
      </c>
      <c r="AF123">
        <v>0.15</v>
      </c>
      <c r="AH123" t="s">
        <v>138</v>
      </c>
      <c r="AI123">
        <v>0.15</v>
      </c>
      <c r="AK123" t="s">
        <v>138</v>
      </c>
      <c r="AL123">
        <v>0.15</v>
      </c>
      <c r="AN123" t="s">
        <v>138</v>
      </c>
      <c r="AO123">
        <v>0.15</v>
      </c>
      <c r="AQ123" t="s">
        <v>138</v>
      </c>
      <c r="AR123">
        <v>0.15</v>
      </c>
    </row>
    <row r="124" spans="4:44" x14ac:dyDescent="0.25">
      <c r="D124" t="s">
        <v>139</v>
      </c>
      <c r="E124">
        <v>0.61</v>
      </c>
      <c r="G124" t="s">
        <v>139</v>
      </c>
      <c r="H124">
        <v>0.61</v>
      </c>
      <c r="J124" t="s">
        <v>139</v>
      </c>
      <c r="K124">
        <v>0.61</v>
      </c>
      <c r="M124" t="s">
        <v>139</v>
      </c>
      <c r="N124">
        <v>0.61</v>
      </c>
      <c r="P124" t="s">
        <v>139</v>
      </c>
      <c r="Q124">
        <v>0.85</v>
      </c>
      <c r="S124" t="s">
        <v>139</v>
      </c>
      <c r="T124">
        <v>0.85</v>
      </c>
      <c r="V124" t="s">
        <v>139</v>
      </c>
      <c r="W124">
        <v>0.85</v>
      </c>
      <c r="Y124" t="s">
        <v>139</v>
      </c>
      <c r="Z124">
        <v>0.85</v>
      </c>
      <c r="AB124" t="s">
        <v>139</v>
      </c>
      <c r="AC124">
        <v>0.75</v>
      </c>
      <c r="AE124" t="s">
        <v>139</v>
      </c>
      <c r="AF124">
        <v>0.75</v>
      </c>
      <c r="AH124" t="s">
        <v>139</v>
      </c>
      <c r="AI124">
        <v>0.75</v>
      </c>
      <c r="AK124" t="s">
        <v>139</v>
      </c>
      <c r="AL124">
        <v>0.75</v>
      </c>
      <c r="AN124" t="s">
        <v>139</v>
      </c>
      <c r="AO124">
        <v>0.75</v>
      </c>
      <c r="AQ124" t="s">
        <v>139</v>
      </c>
      <c r="AR124">
        <v>0.75</v>
      </c>
    </row>
    <row r="125" spans="4:44" x14ac:dyDescent="0.25">
      <c r="D125" t="s">
        <v>140</v>
      </c>
      <c r="E125">
        <v>0.55000000000000004</v>
      </c>
      <c r="G125" t="s">
        <v>140</v>
      </c>
      <c r="H125">
        <v>0.55000000000000004</v>
      </c>
      <c r="J125" t="s">
        <v>140</v>
      </c>
      <c r="K125">
        <v>0.55000000000000004</v>
      </c>
      <c r="M125" t="s">
        <v>140</v>
      </c>
      <c r="N125">
        <v>0.55000000000000004</v>
      </c>
      <c r="P125" t="s">
        <v>140</v>
      </c>
      <c r="Q125">
        <v>0.76</v>
      </c>
      <c r="S125" t="s">
        <v>140</v>
      </c>
      <c r="T125">
        <v>0.76</v>
      </c>
      <c r="V125" t="s">
        <v>140</v>
      </c>
      <c r="W125">
        <v>0.76</v>
      </c>
      <c r="Y125" t="s">
        <v>140</v>
      </c>
      <c r="Z125">
        <v>0.76</v>
      </c>
      <c r="AB125" t="s">
        <v>140</v>
      </c>
      <c r="AC125">
        <v>0.67</v>
      </c>
      <c r="AE125" t="s">
        <v>140</v>
      </c>
      <c r="AF125">
        <v>0.67</v>
      </c>
      <c r="AH125" t="s">
        <v>140</v>
      </c>
      <c r="AI125">
        <v>0.67</v>
      </c>
      <c r="AK125" t="s">
        <v>140</v>
      </c>
      <c r="AL125">
        <v>0.67</v>
      </c>
      <c r="AN125" t="s">
        <v>140</v>
      </c>
      <c r="AO125">
        <v>0.67</v>
      </c>
      <c r="AQ125" t="s">
        <v>140</v>
      </c>
      <c r="AR125">
        <v>0.67</v>
      </c>
    </row>
    <row r="126" spans="4:44" x14ac:dyDescent="0.25">
      <c r="D126" t="s">
        <v>141</v>
      </c>
      <c r="E126">
        <v>55.31</v>
      </c>
      <c r="G126" t="s">
        <v>141</v>
      </c>
      <c r="H126">
        <v>55.31</v>
      </c>
      <c r="J126" t="s">
        <v>141</v>
      </c>
      <c r="K126">
        <v>55.31</v>
      </c>
      <c r="M126" t="s">
        <v>141</v>
      </c>
      <c r="N126">
        <v>55.31</v>
      </c>
      <c r="P126" t="s">
        <v>141</v>
      </c>
      <c r="Q126">
        <v>46.88</v>
      </c>
      <c r="S126" t="s">
        <v>141</v>
      </c>
      <c r="T126">
        <v>40.049999999999997</v>
      </c>
      <c r="V126" t="s">
        <v>141</v>
      </c>
      <c r="W126">
        <v>42.8</v>
      </c>
      <c r="Y126" t="s">
        <v>141</v>
      </c>
      <c r="Z126">
        <v>37.229999999999997</v>
      </c>
      <c r="AB126" t="s">
        <v>141</v>
      </c>
      <c r="AC126">
        <v>46.9</v>
      </c>
      <c r="AE126" t="s">
        <v>141</v>
      </c>
      <c r="AF126">
        <v>39.92</v>
      </c>
      <c r="AH126" t="s">
        <v>141</v>
      </c>
      <c r="AI126">
        <v>42.48</v>
      </c>
      <c r="AK126" t="s">
        <v>141</v>
      </c>
      <c r="AL126">
        <v>37.119999999999997</v>
      </c>
      <c r="AN126" t="s">
        <v>141</v>
      </c>
      <c r="AO126">
        <v>60.21</v>
      </c>
      <c r="AQ126" t="s">
        <v>141</v>
      </c>
      <c r="AR126">
        <v>60.54</v>
      </c>
    </row>
    <row r="127" spans="4:44" x14ac:dyDescent="0.25">
      <c r="D127" t="s">
        <v>142</v>
      </c>
      <c r="E127">
        <v>55.31</v>
      </c>
      <c r="G127" t="s">
        <v>142</v>
      </c>
      <c r="H127">
        <v>55.31</v>
      </c>
      <c r="J127" t="s">
        <v>142</v>
      </c>
      <c r="K127">
        <v>55.31</v>
      </c>
      <c r="M127" t="s">
        <v>142</v>
      </c>
      <c r="N127">
        <v>55.31</v>
      </c>
      <c r="P127" t="s">
        <v>142</v>
      </c>
      <c r="Q127">
        <v>46.88</v>
      </c>
      <c r="S127" t="s">
        <v>142</v>
      </c>
      <c r="T127">
        <v>40.049999999999997</v>
      </c>
      <c r="V127" t="s">
        <v>142</v>
      </c>
      <c r="W127">
        <v>42.8</v>
      </c>
      <c r="Y127" t="s">
        <v>142</v>
      </c>
      <c r="Z127">
        <v>37.229999999999997</v>
      </c>
      <c r="AB127" t="s">
        <v>142</v>
      </c>
      <c r="AC127">
        <v>46.9</v>
      </c>
      <c r="AE127" t="s">
        <v>142</v>
      </c>
      <c r="AF127">
        <v>39.92</v>
      </c>
      <c r="AH127" t="s">
        <v>142</v>
      </c>
      <c r="AI127">
        <v>42.48</v>
      </c>
      <c r="AK127" t="s">
        <v>142</v>
      </c>
      <c r="AL127">
        <v>37.119999999999997</v>
      </c>
      <c r="AN127" t="s">
        <v>142</v>
      </c>
      <c r="AO127">
        <v>60.21</v>
      </c>
      <c r="AQ127" t="s">
        <v>142</v>
      </c>
      <c r="AR127">
        <v>60.54</v>
      </c>
    </row>
    <row r="128" spans="4:44" x14ac:dyDescent="0.25">
      <c r="D128" t="s">
        <v>367</v>
      </c>
      <c r="E128">
        <v>0</v>
      </c>
      <c r="G128" t="s">
        <v>367</v>
      </c>
      <c r="H128">
        <v>0</v>
      </c>
      <c r="J128" t="s">
        <v>367</v>
      </c>
      <c r="K128">
        <v>57.56</v>
      </c>
      <c r="M128" t="s">
        <v>367</v>
      </c>
      <c r="N128">
        <v>57.56</v>
      </c>
      <c r="P128" t="s">
        <v>367</v>
      </c>
      <c r="Q128">
        <v>0</v>
      </c>
      <c r="S128" t="s">
        <v>367</v>
      </c>
      <c r="T128">
        <v>0</v>
      </c>
      <c r="V128" t="s">
        <v>367</v>
      </c>
      <c r="W128">
        <v>43.55</v>
      </c>
      <c r="Y128" t="s">
        <v>367</v>
      </c>
      <c r="Z128">
        <v>37.97</v>
      </c>
      <c r="AB128" t="s">
        <v>367</v>
      </c>
      <c r="AC128">
        <v>0</v>
      </c>
      <c r="AE128" t="s">
        <v>367</v>
      </c>
      <c r="AF128">
        <v>0</v>
      </c>
      <c r="AH128" t="s">
        <v>367</v>
      </c>
      <c r="AI128">
        <v>47.11</v>
      </c>
      <c r="AK128" t="s">
        <v>367</v>
      </c>
      <c r="AL128">
        <v>41.75</v>
      </c>
      <c r="AN128" t="s">
        <v>367</v>
      </c>
      <c r="AO128">
        <v>0</v>
      </c>
      <c r="AQ128" t="s">
        <v>367</v>
      </c>
      <c r="AR128">
        <v>0</v>
      </c>
    </row>
    <row r="129" spans="4:44" x14ac:dyDescent="0.25">
      <c r="D129" t="s">
        <v>368</v>
      </c>
      <c r="E129">
        <v>0</v>
      </c>
      <c r="G129" t="s">
        <v>368</v>
      </c>
      <c r="H129">
        <v>0</v>
      </c>
      <c r="J129" t="s">
        <v>368</v>
      </c>
      <c r="K129">
        <v>0</v>
      </c>
      <c r="M129" t="s">
        <v>368</v>
      </c>
      <c r="N129">
        <v>0</v>
      </c>
      <c r="P129" t="s">
        <v>368</v>
      </c>
      <c r="Q129">
        <v>0</v>
      </c>
      <c r="S129" t="s">
        <v>368</v>
      </c>
      <c r="T129">
        <v>0</v>
      </c>
      <c r="V129" t="s">
        <v>368</v>
      </c>
      <c r="W129">
        <v>0</v>
      </c>
      <c r="Y129" t="s">
        <v>368</v>
      </c>
      <c r="Z129">
        <v>0</v>
      </c>
      <c r="AB129" t="s">
        <v>368</v>
      </c>
      <c r="AC129">
        <v>0</v>
      </c>
      <c r="AE129" t="s">
        <v>368</v>
      </c>
      <c r="AF129">
        <v>0</v>
      </c>
      <c r="AH129" t="s">
        <v>368</v>
      </c>
      <c r="AI129">
        <v>0</v>
      </c>
      <c r="AK129" t="s">
        <v>368</v>
      </c>
      <c r="AL129">
        <v>0</v>
      </c>
      <c r="AN129" t="s">
        <v>368</v>
      </c>
      <c r="AO129">
        <v>0</v>
      </c>
      <c r="AQ129" t="s">
        <v>368</v>
      </c>
      <c r="AR129">
        <v>0</v>
      </c>
    </row>
    <row r="130" spans="4:44" x14ac:dyDescent="0.25">
      <c r="D130" t="s">
        <v>143</v>
      </c>
      <c r="E130">
        <v>146.81</v>
      </c>
      <c r="G130" t="s">
        <v>143</v>
      </c>
      <c r="H130">
        <v>146.81</v>
      </c>
      <c r="J130" t="s">
        <v>143</v>
      </c>
      <c r="K130">
        <v>146.81</v>
      </c>
      <c r="M130" t="s">
        <v>143</v>
      </c>
      <c r="N130">
        <v>146.81</v>
      </c>
      <c r="P130" t="s">
        <v>143</v>
      </c>
      <c r="Q130">
        <v>154.9</v>
      </c>
      <c r="S130" t="s">
        <v>143</v>
      </c>
      <c r="T130">
        <v>152.62</v>
      </c>
      <c r="V130" t="s">
        <v>143</v>
      </c>
      <c r="W130">
        <v>153.54</v>
      </c>
      <c r="Y130" t="s">
        <v>143</v>
      </c>
      <c r="Z130">
        <v>151.68</v>
      </c>
      <c r="AB130" t="s">
        <v>143</v>
      </c>
      <c r="AC130">
        <v>155.66</v>
      </c>
      <c r="AE130" t="s">
        <v>143</v>
      </c>
      <c r="AF130">
        <v>153.34</v>
      </c>
      <c r="AH130" t="s">
        <v>143</v>
      </c>
      <c r="AI130">
        <v>154.19</v>
      </c>
      <c r="AK130" t="s">
        <v>143</v>
      </c>
      <c r="AL130">
        <v>152.4</v>
      </c>
      <c r="AN130" t="s">
        <v>143</v>
      </c>
      <c r="AO130">
        <v>160.1</v>
      </c>
      <c r="AQ130" t="s">
        <v>143</v>
      </c>
      <c r="AR130">
        <v>160.21</v>
      </c>
    </row>
    <row r="131" spans="4:44" x14ac:dyDescent="0.25">
      <c r="D131" t="s">
        <v>366</v>
      </c>
      <c r="E131">
        <v>0</v>
      </c>
      <c r="G131" t="s">
        <v>366</v>
      </c>
      <c r="H131">
        <v>-85.67</v>
      </c>
      <c r="J131" t="s">
        <v>366</v>
      </c>
      <c r="K131">
        <v>0</v>
      </c>
      <c r="M131" t="s">
        <v>366</v>
      </c>
      <c r="N131">
        <v>-85.67</v>
      </c>
      <c r="P131" t="s">
        <v>366</v>
      </c>
      <c r="Q131">
        <v>0</v>
      </c>
      <c r="S131" t="s">
        <v>366</v>
      </c>
      <c r="T131">
        <v>-72.92</v>
      </c>
      <c r="V131" t="s">
        <v>366</v>
      </c>
      <c r="W131">
        <v>0</v>
      </c>
      <c r="Y131" t="s">
        <v>366</v>
      </c>
      <c r="Z131">
        <v>-70.099999999999994</v>
      </c>
      <c r="AB131" t="s">
        <v>366</v>
      </c>
      <c r="AC131">
        <v>0</v>
      </c>
      <c r="AE131" t="s">
        <v>366</v>
      </c>
      <c r="AF131">
        <v>-74.38</v>
      </c>
      <c r="AH131" t="s">
        <v>366</v>
      </c>
      <c r="AI131">
        <v>0</v>
      </c>
      <c r="AK131" t="s">
        <v>366</v>
      </c>
      <c r="AL131">
        <v>-71.569999999999993</v>
      </c>
      <c r="AN131" t="s">
        <v>366</v>
      </c>
      <c r="AO131">
        <v>0</v>
      </c>
      <c r="AQ131" t="s">
        <v>366</v>
      </c>
      <c r="AR131">
        <v>0</v>
      </c>
    </row>
    <row r="132" spans="4:44" x14ac:dyDescent="0.25">
      <c r="D132" t="s">
        <v>145</v>
      </c>
      <c r="E132">
        <v>29.3</v>
      </c>
      <c r="G132" t="s">
        <v>145</v>
      </c>
      <c r="H132">
        <v>29.3</v>
      </c>
      <c r="J132" t="s">
        <v>145</v>
      </c>
      <c r="K132">
        <v>29.3</v>
      </c>
      <c r="M132" t="s">
        <v>145</v>
      </c>
      <c r="N132">
        <v>29.3</v>
      </c>
      <c r="P132" t="s">
        <v>145</v>
      </c>
      <c r="Q132">
        <v>16.21</v>
      </c>
      <c r="S132" t="s">
        <v>145</v>
      </c>
      <c r="T132">
        <v>9.3800000000000008</v>
      </c>
      <c r="V132" t="s">
        <v>145</v>
      </c>
      <c r="W132">
        <v>12.13</v>
      </c>
      <c r="Y132" t="s">
        <v>145</v>
      </c>
      <c r="Z132">
        <v>6.56</v>
      </c>
      <c r="AB132" t="s">
        <v>145</v>
      </c>
      <c r="AC132">
        <v>15.14</v>
      </c>
      <c r="AE132" t="s">
        <v>145</v>
      </c>
      <c r="AF132">
        <v>8.17</v>
      </c>
      <c r="AH132" t="s">
        <v>145</v>
      </c>
      <c r="AI132">
        <v>10.72</v>
      </c>
      <c r="AK132" t="s">
        <v>145</v>
      </c>
      <c r="AL132">
        <v>5.36</v>
      </c>
      <c r="AN132" t="s">
        <v>145</v>
      </c>
      <c r="AO132">
        <v>28.45</v>
      </c>
      <c r="AQ132" t="s">
        <v>145</v>
      </c>
      <c r="AR132">
        <v>28.78</v>
      </c>
    </row>
    <row r="133" spans="4:44" x14ac:dyDescent="0.25">
      <c r="D133" t="s">
        <v>146</v>
      </c>
      <c r="E133">
        <v>29.76</v>
      </c>
      <c r="G133" t="s">
        <v>146</v>
      </c>
      <c r="H133">
        <v>29.76</v>
      </c>
      <c r="J133" t="s">
        <v>146</v>
      </c>
      <c r="K133">
        <v>29.76</v>
      </c>
      <c r="M133" t="s">
        <v>146</v>
      </c>
      <c r="N133">
        <v>29.76</v>
      </c>
      <c r="P133" t="s">
        <v>146</v>
      </c>
      <c r="Q133">
        <v>16.86</v>
      </c>
      <c r="S133" t="s">
        <v>146</v>
      </c>
      <c r="T133">
        <v>10.02</v>
      </c>
      <c r="V133" t="s">
        <v>146</v>
      </c>
      <c r="W133">
        <v>12.78</v>
      </c>
      <c r="Y133" t="s">
        <v>146</v>
      </c>
      <c r="Z133">
        <v>7.2</v>
      </c>
      <c r="AB133" t="s">
        <v>146</v>
      </c>
      <c r="AC133">
        <v>15.71</v>
      </c>
      <c r="AE133" t="s">
        <v>146</v>
      </c>
      <c r="AF133">
        <v>8.74</v>
      </c>
      <c r="AH133" t="s">
        <v>146</v>
      </c>
      <c r="AI133">
        <v>11.3</v>
      </c>
      <c r="AK133" t="s">
        <v>146</v>
      </c>
      <c r="AL133">
        <v>5.93</v>
      </c>
      <c r="AN133" t="s">
        <v>146</v>
      </c>
      <c r="AO133">
        <v>29.03</v>
      </c>
      <c r="AQ133" t="s">
        <v>146</v>
      </c>
      <c r="AR133">
        <v>29.36</v>
      </c>
    </row>
    <row r="134" spans="4:44" x14ac:dyDescent="0.25">
      <c r="D134" t="s">
        <v>147</v>
      </c>
      <c r="E134">
        <v>2.35</v>
      </c>
      <c r="G134" t="s">
        <v>147</v>
      </c>
      <c r="H134">
        <v>2.35</v>
      </c>
      <c r="J134" t="s">
        <v>147</v>
      </c>
      <c r="K134">
        <v>2.35</v>
      </c>
      <c r="M134" t="s">
        <v>147</v>
      </c>
      <c r="N134">
        <v>2.35</v>
      </c>
      <c r="P134" t="s">
        <v>147</v>
      </c>
      <c r="Q134">
        <v>3.26</v>
      </c>
      <c r="S134" t="s">
        <v>147</v>
      </c>
      <c r="T134">
        <v>3.26</v>
      </c>
      <c r="V134" t="s">
        <v>147</v>
      </c>
      <c r="W134">
        <v>3.26</v>
      </c>
      <c r="Y134" t="s">
        <v>147</v>
      </c>
      <c r="Z134">
        <v>3.26</v>
      </c>
      <c r="AB134" t="s">
        <v>147</v>
      </c>
      <c r="AC134">
        <v>2.89</v>
      </c>
      <c r="AE134" t="s">
        <v>147</v>
      </c>
      <c r="AF134">
        <v>2.89</v>
      </c>
      <c r="AH134" t="s">
        <v>147</v>
      </c>
      <c r="AI134">
        <v>2.89</v>
      </c>
      <c r="AK134" t="s">
        <v>147</v>
      </c>
      <c r="AL134">
        <v>2.89</v>
      </c>
      <c r="AN134" t="s">
        <v>147</v>
      </c>
      <c r="AO134">
        <v>2.89</v>
      </c>
      <c r="AQ134" t="s">
        <v>147</v>
      </c>
      <c r="AR134">
        <v>2.89</v>
      </c>
    </row>
    <row r="135" spans="4:44" x14ac:dyDescent="0.25">
      <c r="D135" t="s">
        <v>148</v>
      </c>
      <c r="E135">
        <v>0.55000000000000004</v>
      </c>
      <c r="G135" t="s">
        <v>148</v>
      </c>
      <c r="H135">
        <v>0.55000000000000004</v>
      </c>
      <c r="J135" t="s">
        <v>148</v>
      </c>
      <c r="K135">
        <v>0.55000000000000004</v>
      </c>
      <c r="M135" t="s">
        <v>148</v>
      </c>
      <c r="N135">
        <v>0.55000000000000004</v>
      </c>
      <c r="P135" t="s">
        <v>148</v>
      </c>
      <c r="Q135">
        <v>0.76</v>
      </c>
      <c r="S135" t="s">
        <v>148</v>
      </c>
      <c r="T135">
        <v>0.76</v>
      </c>
      <c r="V135" t="s">
        <v>148</v>
      </c>
      <c r="W135">
        <v>0.76</v>
      </c>
      <c r="Y135" t="s">
        <v>148</v>
      </c>
      <c r="Z135">
        <v>0.76</v>
      </c>
      <c r="AB135" t="s">
        <v>148</v>
      </c>
      <c r="AC135">
        <v>0.67</v>
      </c>
      <c r="AE135" t="s">
        <v>148</v>
      </c>
      <c r="AF135">
        <v>0.67</v>
      </c>
      <c r="AH135" t="s">
        <v>148</v>
      </c>
      <c r="AI135">
        <v>0.67</v>
      </c>
      <c r="AK135" t="s">
        <v>148</v>
      </c>
      <c r="AL135">
        <v>0.67</v>
      </c>
      <c r="AN135" t="s">
        <v>148</v>
      </c>
      <c r="AO135">
        <v>0.67</v>
      </c>
      <c r="AQ135" t="s">
        <v>148</v>
      </c>
      <c r="AR135">
        <v>0.67</v>
      </c>
    </row>
    <row r="136" spans="4:44" x14ac:dyDescent="0.25">
      <c r="D136" t="s">
        <v>149</v>
      </c>
      <c r="E136">
        <v>-45.19</v>
      </c>
      <c r="G136" t="s">
        <v>149</v>
      </c>
      <c r="H136">
        <v>-98.18</v>
      </c>
      <c r="J136" t="s">
        <v>149</v>
      </c>
      <c r="K136">
        <v>-80.819999999999993</v>
      </c>
      <c r="M136" t="s">
        <v>149</v>
      </c>
      <c r="N136">
        <v>-135.52000000000001</v>
      </c>
      <c r="P136" t="s">
        <v>149</v>
      </c>
      <c r="Q136">
        <v>71.14</v>
      </c>
      <c r="S136" t="s">
        <v>149</v>
      </c>
      <c r="T136">
        <v>64.3</v>
      </c>
      <c r="V136" t="s">
        <v>149</v>
      </c>
      <c r="W136">
        <v>67.06</v>
      </c>
      <c r="Y136" t="s">
        <v>149</v>
      </c>
      <c r="Z136">
        <v>56.41</v>
      </c>
      <c r="AB136" t="s">
        <v>149</v>
      </c>
      <c r="AC136">
        <v>72.98</v>
      </c>
      <c r="AE136" t="s">
        <v>149</v>
      </c>
      <c r="AF136">
        <v>66.010000000000005</v>
      </c>
      <c r="AH136" t="s">
        <v>149</v>
      </c>
      <c r="AI136">
        <v>68.56</v>
      </c>
      <c r="AK136" t="s">
        <v>149</v>
      </c>
      <c r="AL136">
        <v>54.21</v>
      </c>
      <c r="AN136" t="s">
        <v>149</v>
      </c>
      <c r="AO136">
        <v>86.29</v>
      </c>
      <c r="AQ136" t="s">
        <v>149</v>
      </c>
      <c r="AR136">
        <v>-38.51</v>
      </c>
    </row>
    <row r="137" spans="4:44" x14ac:dyDescent="0.25">
      <c r="D137" t="s">
        <v>361</v>
      </c>
      <c r="E137">
        <v>0</v>
      </c>
      <c r="G137" t="s">
        <v>361</v>
      </c>
      <c r="H137">
        <v>0</v>
      </c>
      <c r="J137" t="s">
        <v>361</v>
      </c>
      <c r="K137">
        <v>0</v>
      </c>
      <c r="M137" t="s">
        <v>361</v>
      </c>
      <c r="N137">
        <v>0</v>
      </c>
      <c r="P137" t="s">
        <v>361</v>
      </c>
      <c r="Q137">
        <v>105.06</v>
      </c>
      <c r="S137" t="s">
        <v>361</v>
      </c>
      <c r="T137">
        <v>157.47</v>
      </c>
      <c r="V137" t="s">
        <v>361</v>
      </c>
      <c r="W137">
        <v>136.36000000000001</v>
      </c>
      <c r="Y137" t="s">
        <v>361</v>
      </c>
      <c r="Z137">
        <v>179.09</v>
      </c>
      <c r="AB137" t="s">
        <v>361</v>
      </c>
      <c r="AC137">
        <v>104.58</v>
      </c>
      <c r="AE137" t="s">
        <v>361</v>
      </c>
      <c r="AF137">
        <v>158.04</v>
      </c>
      <c r="AH137" t="s">
        <v>361</v>
      </c>
      <c r="AI137">
        <v>138.44999999999999</v>
      </c>
      <c r="AK137" t="s">
        <v>361</v>
      </c>
      <c r="AL137">
        <v>179.57</v>
      </c>
      <c r="AN137" t="s">
        <v>361</v>
      </c>
      <c r="AO137">
        <v>144.52000000000001</v>
      </c>
      <c r="AQ137" t="s">
        <v>361</v>
      </c>
      <c r="AR137">
        <v>0</v>
      </c>
    </row>
    <row r="138" spans="4:44" x14ac:dyDescent="0.25">
      <c r="D138" t="s">
        <v>362</v>
      </c>
      <c r="E138">
        <v>14.47</v>
      </c>
      <c r="G138" t="s">
        <v>362</v>
      </c>
      <c r="H138">
        <v>47.16</v>
      </c>
      <c r="J138" t="s">
        <v>362</v>
      </c>
      <c r="K138">
        <v>36.4</v>
      </c>
      <c r="M138" t="s">
        <v>362</v>
      </c>
      <c r="N138">
        <v>67.38</v>
      </c>
      <c r="P138" t="s">
        <v>362</v>
      </c>
      <c r="Q138">
        <v>0</v>
      </c>
      <c r="S138" t="s">
        <v>362</v>
      </c>
      <c r="T138">
        <v>0</v>
      </c>
      <c r="V138" t="s">
        <v>362</v>
      </c>
      <c r="W138">
        <v>0</v>
      </c>
      <c r="Y138" t="s">
        <v>362</v>
      </c>
      <c r="Z138">
        <v>0</v>
      </c>
      <c r="AB138" t="s">
        <v>362</v>
      </c>
      <c r="AC138">
        <v>0</v>
      </c>
      <c r="AE138" t="s">
        <v>362</v>
      </c>
      <c r="AF138">
        <v>0</v>
      </c>
      <c r="AH138" t="s">
        <v>362</v>
      </c>
      <c r="AI138">
        <v>0</v>
      </c>
      <c r="AK138" t="s">
        <v>362</v>
      </c>
      <c r="AL138">
        <v>0</v>
      </c>
      <c r="AN138" t="s">
        <v>362</v>
      </c>
      <c r="AO138">
        <v>0</v>
      </c>
      <c r="AQ138" t="s">
        <v>362</v>
      </c>
      <c r="AR138">
        <v>20.37</v>
      </c>
    </row>
    <row r="139" spans="4:44" x14ac:dyDescent="0.25">
      <c r="D139" t="s">
        <v>151</v>
      </c>
      <c r="E139">
        <v>0.61</v>
      </c>
      <c r="G139" t="s">
        <v>151</v>
      </c>
      <c r="H139">
        <v>0.61</v>
      </c>
      <c r="J139" t="s">
        <v>151</v>
      </c>
      <c r="K139">
        <v>0.61</v>
      </c>
      <c r="M139" t="s">
        <v>151</v>
      </c>
      <c r="N139">
        <v>0.61</v>
      </c>
      <c r="P139" t="s">
        <v>151</v>
      </c>
      <c r="Q139">
        <v>0.85</v>
      </c>
      <c r="S139" t="s">
        <v>151</v>
      </c>
      <c r="T139">
        <v>0.85</v>
      </c>
      <c r="V139" t="s">
        <v>151</v>
      </c>
      <c r="W139">
        <v>0.85</v>
      </c>
      <c r="Y139" t="s">
        <v>151</v>
      </c>
      <c r="Z139">
        <v>0.85</v>
      </c>
      <c r="AB139" t="s">
        <v>151</v>
      </c>
      <c r="AC139">
        <v>0.75</v>
      </c>
      <c r="AE139" t="s">
        <v>151</v>
      </c>
      <c r="AF139">
        <v>0.75</v>
      </c>
      <c r="AH139" t="s">
        <v>151</v>
      </c>
      <c r="AI139">
        <v>0.75</v>
      </c>
      <c r="AK139" t="s">
        <v>151</v>
      </c>
      <c r="AL139">
        <v>0.75</v>
      </c>
      <c r="AN139" t="s">
        <v>151</v>
      </c>
      <c r="AO139">
        <v>0.75</v>
      </c>
      <c r="AQ139" t="s">
        <v>151</v>
      </c>
      <c r="AR139">
        <v>0.75</v>
      </c>
    </row>
    <row r="140" spans="4:44" x14ac:dyDescent="0.25">
      <c r="D140" t="s">
        <v>152</v>
      </c>
      <c r="E140">
        <v>29.3</v>
      </c>
      <c r="G140" t="s">
        <v>152</v>
      </c>
      <c r="H140">
        <v>29.3</v>
      </c>
      <c r="J140" t="s">
        <v>152</v>
      </c>
      <c r="K140">
        <v>29.3</v>
      </c>
      <c r="M140" t="s">
        <v>152</v>
      </c>
      <c r="N140">
        <v>29.3</v>
      </c>
      <c r="P140" t="s">
        <v>152</v>
      </c>
      <c r="Q140">
        <v>16.21</v>
      </c>
      <c r="S140" t="s">
        <v>152</v>
      </c>
      <c r="T140">
        <v>9.3800000000000008</v>
      </c>
      <c r="V140" t="s">
        <v>152</v>
      </c>
      <c r="W140">
        <v>12.13</v>
      </c>
      <c r="Y140" t="s">
        <v>152</v>
      </c>
      <c r="Z140">
        <v>6.56</v>
      </c>
      <c r="AB140" t="s">
        <v>152</v>
      </c>
      <c r="AC140">
        <v>15.14</v>
      </c>
      <c r="AE140" t="s">
        <v>152</v>
      </c>
      <c r="AF140">
        <v>8.17</v>
      </c>
      <c r="AH140" t="s">
        <v>152</v>
      </c>
      <c r="AI140">
        <v>10.72</v>
      </c>
      <c r="AK140" t="s">
        <v>152</v>
      </c>
      <c r="AL140">
        <v>5.36</v>
      </c>
      <c r="AN140" t="s">
        <v>152</v>
      </c>
      <c r="AO140">
        <v>28.45</v>
      </c>
      <c r="AQ140" t="s">
        <v>152</v>
      </c>
      <c r="AR140">
        <v>28.78</v>
      </c>
    </row>
    <row r="141" spans="4:44" x14ac:dyDescent="0.25">
      <c r="D141" t="s">
        <v>153</v>
      </c>
      <c r="E141">
        <v>1.42</v>
      </c>
      <c r="G141" t="s">
        <v>153</v>
      </c>
      <c r="H141">
        <v>1.42</v>
      </c>
      <c r="J141" t="s">
        <v>153</v>
      </c>
      <c r="K141">
        <v>1.42</v>
      </c>
      <c r="M141" t="s">
        <v>153</v>
      </c>
      <c r="N141">
        <v>1.42</v>
      </c>
      <c r="P141" t="s">
        <v>153</v>
      </c>
      <c r="Q141">
        <v>1.97</v>
      </c>
      <c r="S141" t="s">
        <v>153</v>
      </c>
      <c r="T141">
        <v>1.97</v>
      </c>
      <c r="V141" t="s">
        <v>153</v>
      </c>
      <c r="W141">
        <v>1.97</v>
      </c>
      <c r="Y141" t="s">
        <v>153</v>
      </c>
      <c r="Z141">
        <v>1.97</v>
      </c>
      <c r="AB141" t="s">
        <v>153</v>
      </c>
      <c r="AC141">
        <v>1.75</v>
      </c>
      <c r="AE141" t="s">
        <v>153</v>
      </c>
      <c r="AF141">
        <v>1.75</v>
      </c>
      <c r="AH141" t="s">
        <v>153</v>
      </c>
      <c r="AI141">
        <v>1.75</v>
      </c>
      <c r="AK141" t="s">
        <v>153</v>
      </c>
      <c r="AL141">
        <v>1.75</v>
      </c>
      <c r="AN141" t="s">
        <v>153</v>
      </c>
      <c r="AO141">
        <v>1.75</v>
      </c>
      <c r="AQ141" t="s">
        <v>153</v>
      </c>
      <c r="AR141">
        <v>1.75</v>
      </c>
    </row>
    <row r="142" spans="4:44" x14ac:dyDescent="0.25">
      <c r="D142" t="s">
        <v>154</v>
      </c>
      <c r="E142">
        <v>0.38</v>
      </c>
      <c r="G142" t="s">
        <v>154</v>
      </c>
      <c r="H142">
        <v>0.38</v>
      </c>
      <c r="J142" t="s">
        <v>154</v>
      </c>
      <c r="K142">
        <v>0.38</v>
      </c>
      <c r="M142" t="s">
        <v>154</v>
      </c>
      <c r="N142">
        <v>0.38</v>
      </c>
      <c r="P142" t="s">
        <v>154</v>
      </c>
      <c r="Q142">
        <v>0.53</v>
      </c>
      <c r="S142" t="s">
        <v>154</v>
      </c>
      <c r="T142">
        <v>0.53</v>
      </c>
      <c r="V142" t="s">
        <v>154</v>
      </c>
      <c r="W142">
        <v>0.53</v>
      </c>
      <c r="Y142" t="s">
        <v>154</v>
      </c>
      <c r="Z142">
        <v>0.53</v>
      </c>
      <c r="AB142" t="s">
        <v>154</v>
      </c>
      <c r="AC142">
        <v>0.47</v>
      </c>
      <c r="AE142" t="s">
        <v>154</v>
      </c>
      <c r="AF142">
        <v>0.47</v>
      </c>
      <c r="AH142" t="s">
        <v>154</v>
      </c>
      <c r="AI142">
        <v>0.47</v>
      </c>
      <c r="AK142" t="s">
        <v>154</v>
      </c>
      <c r="AL142">
        <v>0.47</v>
      </c>
      <c r="AN142" t="s">
        <v>154</v>
      </c>
      <c r="AO142">
        <v>0.47</v>
      </c>
      <c r="AQ142" t="s">
        <v>154</v>
      </c>
      <c r="AR142">
        <v>0.47</v>
      </c>
    </row>
    <row r="143" spans="4:44" x14ac:dyDescent="0.25">
      <c r="D143" t="s">
        <v>144</v>
      </c>
      <c r="E143">
        <v>52.5</v>
      </c>
      <c r="G143" t="s">
        <v>144</v>
      </c>
      <c r="H143">
        <v>52.5</v>
      </c>
      <c r="J143" t="s">
        <v>144</v>
      </c>
      <c r="K143">
        <v>52.5</v>
      </c>
      <c r="M143" t="s">
        <v>144</v>
      </c>
      <c r="N143">
        <v>52.5</v>
      </c>
      <c r="P143" t="s">
        <v>144</v>
      </c>
      <c r="Q143">
        <v>42.98</v>
      </c>
      <c r="S143" t="s">
        <v>144</v>
      </c>
      <c r="T143">
        <v>36.14</v>
      </c>
      <c r="V143" t="s">
        <v>144</v>
      </c>
      <c r="W143">
        <v>38.89</v>
      </c>
      <c r="Y143" t="s">
        <v>144</v>
      </c>
      <c r="Z143">
        <v>33.32</v>
      </c>
      <c r="AB143" t="s">
        <v>144</v>
      </c>
      <c r="AC143">
        <v>43.43</v>
      </c>
      <c r="AE143" t="s">
        <v>144</v>
      </c>
      <c r="AF143">
        <v>36.46</v>
      </c>
      <c r="AH143" t="s">
        <v>144</v>
      </c>
      <c r="AI143">
        <v>39.01</v>
      </c>
      <c r="AK143" t="s">
        <v>144</v>
      </c>
      <c r="AL143">
        <v>33.65</v>
      </c>
      <c r="AN143" t="s">
        <v>144</v>
      </c>
      <c r="AO143">
        <v>56.74</v>
      </c>
      <c r="AQ143" t="s">
        <v>144</v>
      </c>
      <c r="AR143">
        <v>57.07</v>
      </c>
    </row>
    <row r="144" spans="4:44" x14ac:dyDescent="0.25">
      <c r="D144" t="s">
        <v>155</v>
      </c>
      <c r="E144">
        <v>52.5</v>
      </c>
      <c r="G144" t="s">
        <v>155</v>
      </c>
      <c r="H144">
        <v>52.5</v>
      </c>
      <c r="J144" t="s">
        <v>155</v>
      </c>
      <c r="K144">
        <v>52.5</v>
      </c>
      <c r="M144" t="s">
        <v>155</v>
      </c>
      <c r="N144">
        <v>52.5</v>
      </c>
      <c r="P144" t="s">
        <v>155</v>
      </c>
      <c r="Q144">
        <v>42.98</v>
      </c>
      <c r="S144" t="s">
        <v>155</v>
      </c>
      <c r="T144">
        <v>36.14</v>
      </c>
      <c r="V144" t="s">
        <v>155</v>
      </c>
      <c r="W144">
        <v>38.89</v>
      </c>
      <c r="Y144" t="s">
        <v>155</v>
      </c>
      <c r="Z144">
        <v>33.32</v>
      </c>
      <c r="AB144" t="s">
        <v>155</v>
      </c>
      <c r="AC144">
        <v>43.43</v>
      </c>
      <c r="AE144" t="s">
        <v>155</v>
      </c>
      <c r="AF144">
        <v>36.46</v>
      </c>
      <c r="AH144" t="s">
        <v>155</v>
      </c>
      <c r="AI144">
        <v>39.01</v>
      </c>
      <c r="AK144" t="s">
        <v>155</v>
      </c>
      <c r="AL144">
        <v>33.65</v>
      </c>
      <c r="AN144" t="s">
        <v>155</v>
      </c>
      <c r="AO144">
        <v>56.74</v>
      </c>
      <c r="AQ144" t="s">
        <v>155</v>
      </c>
      <c r="AR144">
        <v>57.07</v>
      </c>
    </row>
    <row r="145" spans="4:44" x14ac:dyDescent="0.25">
      <c r="D145" t="s">
        <v>156</v>
      </c>
      <c r="E145">
        <v>29.3</v>
      </c>
      <c r="G145" t="s">
        <v>156</v>
      </c>
      <c r="H145">
        <v>29.3</v>
      </c>
      <c r="J145" t="s">
        <v>156</v>
      </c>
      <c r="K145">
        <v>29.3</v>
      </c>
      <c r="M145" t="s">
        <v>156</v>
      </c>
      <c r="N145">
        <v>29.3</v>
      </c>
      <c r="P145" t="s">
        <v>156</v>
      </c>
      <c r="Q145">
        <v>16.21</v>
      </c>
      <c r="S145" t="s">
        <v>156</v>
      </c>
      <c r="T145">
        <v>9.3800000000000008</v>
      </c>
      <c r="V145" t="s">
        <v>156</v>
      </c>
      <c r="W145">
        <v>12.13</v>
      </c>
      <c r="Y145" t="s">
        <v>156</v>
      </c>
      <c r="Z145">
        <v>6.56</v>
      </c>
      <c r="AB145" t="s">
        <v>156</v>
      </c>
      <c r="AC145">
        <v>15.14</v>
      </c>
      <c r="AE145" t="s">
        <v>156</v>
      </c>
      <c r="AF145">
        <v>8.17</v>
      </c>
      <c r="AH145" t="s">
        <v>156</v>
      </c>
      <c r="AI145">
        <v>10.72</v>
      </c>
      <c r="AK145" t="s">
        <v>156</v>
      </c>
      <c r="AL145">
        <v>5.36</v>
      </c>
      <c r="AN145" t="s">
        <v>156</v>
      </c>
      <c r="AO145">
        <v>28.45</v>
      </c>
      <c r="AQ145" t="s">
        <v>156</v>
      </c>
      <c r="AR145">
        <v>28.78</v>
      </c>
    </row>
    <row r="146" spans="4:44" x14ac:dyDescent="0.25">
      <c r="D146" t="s">
        <v>157</v>
      </c>
      <c r="E146">
        <v>0.53</v>
      </c>
      <c r="G146" t="s">
        <v>157</v>
      </c>
      <c r="H146">
        <v>0.53</v>
      </c>
      <c r="J146" t="s">
        <v>157</v>
      </c>
      <c r="K146">
        <v>0.53</v>
      </c>
      <c r="M146" t="s">
        <v>157</v>
      </c>
      <c r="N146">
        <v>0.53</v>
      </c>
      <c r="P146" t="s">
        <v>157</v>
      </c>
      <c r="Q146">
        <v>0.74</v>
      </c>
      <c r="S146" t="s">
        <v>157</v>
      </c>
      <c r="T146">
        <v>0.74</v>
      </c>
      <c r="V146" t="s">
        <v>157</v>
      </c>
      <c r="W146">
        <v>0.74</v>
      </c>
      <c r="Y146" t="s">
        <v>157</v>
      </c>
      <c r="Z146">
        <v>0.74</v>
      </c>
      <c r="AB146" t="s">
        <v>157</v>
      </c>
      <c r="AC146">
        <v>0.66</v>
      </c>
      <c r="AE146" t="s">
        <v>157</v>
      </c>
      <c r="AF146">
        <v>0.66</v>
      </c>
      <c r="AH146" t="s">
        <v>157</v>
      </c>
      <c r="AI146">
        <v>0.66</v>
      </c>
      <c r="AK146" t="s">
        <v>157</v>
      </c>
      <c r="AL146">
        <v>0.66</v>
      </c>
      <c r="AN146" t="s">
        <v>157</v>
      </c>
      <c r="AO146">
        <v>0.66</v>
      </c>
      <c r="AQ146" t="s">
        <v>157</v>
      </c>
      <c r="AR146">
        <v>0.66</v>
      </c>
    </row>
    <row r="147" spans="4:44" x14ac:dyDescent="0.25">
      <c r="D147" t="s">
        <v>158</v>
      </c>
      <c r="E147">
        <v>-1.3</v>
      </c>
      <c r="G147" t="s">
        <v>158</v>
      </c>
      <c r="H147">
        <v>-1.3</v>
      </c>
      <c r="J147" t="s">
        <v>158</v>
      </c>
      <c r="K147">
        <v>-1.3</v>
      </c>
      <c r="M147" t="s">
        <v>158</v>
      </c>
      <c r="N147">
        <v>-1.3</v>
      </c>
      <c r="P147" t="s">
        <v>158</v>
      </c>
      <c r="Q147">
        <v>-1.81</v>
      </c>
      <c r="S147" t="s">
        <v>158</v>
      </c>
      <c r="T147">
        <v>-1.81</v>
      </c>
      <c r="V147" t="s">
        <v>158</v>
      </c>
      <c r="W147">
        <v>-1.81</v>
      </c>
      <c r="Y147" t="s">
        <v>158</v>
      </c>
      <c r="Z147">
        <v>-1.81</v>
      </c>
      <c r="AB147" t="s">
        <v>158</v>
      </c>
      <c r="AC147">
        <v>-1.61</v>
      </c>
      <c r="AE147" t="s">
        <v>158</v>
      </c>
      <c r="AF147">
        <v>-1.61</v>
      </c>
      <c r="AH147" t="s">
        <v>158</v>
      </c>
      <c r="AI147">
        <v>-1.61</v>
      </c>
      <c r="AK147" t="s">
        <v>158</v>
      </c>
      <c r="AL147">
        <v>-1.61</v>
      </c>
      <c r="AN147" t="s">
        <v>158</v>
      </c>
      <c r="AO147">
        <v>-1.61</v>
      </c>
      <c r="AQ147" t="s">
        <v>158</v>
      </c>
      <c r="AR147">
        <v>-1.61</v>
      </c>
    </row>
    <row r="148" spans="4:44" x14ac:dyDescent="0.25">
      <c r="D148" t="s">
        <v>159</v>
      </c>
      <c r="E148">
        <v>0.53</v>
      </c>
      <c r="G148" t="s">
        <v>159</v>
      </c>
      <c r="H148">
        <v>0.53</v>
      </c>
      <c r="J148" t="s">
        <v>159</v>
      </c>
      <c r="K148">
        <v>0.53</v>
      </c>
      <c r="M148" t="s">
        <v>159</v>
      </c>
      <c r="N148">
        <v>0.53</v>
      </c>
      <c r="P148" t="s">
        <v>159</v>
      </c>
      <c r="Q148">
        <v>0.74</v>
      </c>
      <c r="S148" t="s">
        <v>159</v>
      </c>
      <c r="T148">
        <v>0.74</v>
      </c>
      <c r="V148" t="s">
        <v>159</v>
      </c>
      <c r="W148">
        <v>0.74</v>
      </c>
      <c r="Y148" t="s">
        <v>159</v>
      </c>
      <c r="Z148">
        <v>0.74</v>
      </c>
      <c r="AB148" t="s">
        <v>159</v>
      </c>
      <c r="AC148">
        <v>0.66</v>
      </c>
      <c r="AE148" t="s">
        <v>159</v>
      </c>
      <c r="AF148">
        <v>0.66</v>
      </c>
      <c r="AH148" t="s">
        <v>159</v>
      </c>
      <c r="AI148">
        <v>0.66</v>
      </c>
      <c r="AK148" t="s">
        <v>159</v>
      </c>
      <c r="AL148">
        <v>0.66</v>
      </c>
      <c r="AN148" t="s">
        <v>159</v>
      </c>
      <c r="AO148">
        <v>0.66</v>
      </c>
      <c r="AQ148" t="s">
        <v>159</v>
      </c>
      <c r="AR148">
        <v>0.66</v>
      </c>
    </row>
    <row r="149" spans="4:44" x14ac:dyDescent="0.25">
      <c r="D149" t="s">
        <v>385</v>
      </c>
      <c r="E149">
        <v>-77.53</v>
      </c>
      <c r="G149" t="s">
        <v>385</v>
      </c>
      <c r="H149">
        <v>-130.52000000000001</v>
      </c>
      <c r="J149" t="s">
        <v>385</v>
      </c>
      <c r="K149">
        <v>-113.16</v>
      </c>
      <c r="M149" t="s">
        <v>385</v>
      </c>
      <c r="N149">
        <v>-167.85</v>
      </c>
      <c r="P149" t="s">
        <v>385</v>
      </c>
      <c r="Q149">
        <v>50.7</v>
      </c>
      <c r="S149" t="s">
        <v>385</v>
      </c>
      <c r="T149">
        <v>50.7</v>
      </c>
      <c r="V149" t="s">
        <v>385</v>
      </c>
      <c r="W149">
        <v>50.7</v>
      </c>
      <c r="Y149" t="s">
        <v>385</v>
      </c>
      <c r="Z149">
        <v>45.63</v>
      </c>
      <c r="AB149" t="s">
        <v>385</v>
      </c>
      <c r="AC149">
        <v>54.09</v>
      </c>
      <c r="AE149" t="s">
        <v>385</v>
      </c>
      <c r="AF149">
        <v>54.09</v>
      </c>
      <c r="AH149" t="s">
        <v>385</v>
      </c>
      <c r="AI149">
        <v>54.09</v>
      </c>
      <c r="AK149" t="s">
        <v>385</v>
      </c>
      <c r="AL149">
        <v>45.1</v>
      </c>
      <c r="AN149" t="s">
        <v>385</v>
      </c>
      <c r="AO149">
        <v>54.09</v>
      </c>
      <c r="AQ149" t="s">
        <v>385</v>
      </c>
      <c r="AR149">
        <v>-71.040000000000006</v>
      </c>
    </row>
    <row r="150" spans="4:44" x14ac:dyDescent="0.25">
      <c r="D150" t="s">
        <v>160</v>
      </c>
      <c r="E150">
        <v>0.01</v>
      </c>
      <c r="G150" t="s">
        <v>160</v>
      </c>
      <c r="H150">
        <v>0.01</v>
      </c>
      <c r="J150" t="s">
        <v>160</v>
      </c>
      <c r="K150">
        <v>0.01</v>
      </c>
      <c r="M150" t="s">
        <v>160</v>
      </c>
      <c r="N150">
        <v>0.01</v>
      </c>
      <c r="P150" t="s">
        <v>160</v>
      </c>
      <c r="Q150">
        <v>0.02</v>
      </c>
      <c r="S150" t="s">
        <v>160</v>
      </c>
      <c r="T150">
        <v>0.02</v>
      </c>
      <c r="V150" t="s">
        <v>160</v>
      </c>
      <c r="W150">
        <v>0.02</v>
      </c>
      <c r="Y150" t="s">
        <v>160</v>
      </c>
      <c r="Z150">
        <v>0.02</v>
      </c>
      <c r="AB150" t="s">
        <v>160</v>
      </c>
      <c r="AC150">
        <v>0.02</v>
      </c>
      <c r="AE150" t="s">
        <v>160</v>
      </c>
      <c r="AF150">
        <v>0.02</v>
      </c>
      <c r="AH150" t="s">
        <v>160</v>
      </c>
      <c r="AI150">
        <v>0.02</v>
      </c>
      <c r="AK150" t="s">
        <v>160</v>
      </c>
      <c r="AL150">
        <v>0.02</v>
      </c>
      <c r="AN150" t="s">
        <v>160</v>
      </c>
      <c r="AO150">
        <v>0.02</v>
      </c>
      <c r="AQ150" t="s">
        <v>160</v>
      </c>
      <c r="AR150">
        <v>0.02</v>
      </c>
    </row>
    <row r="151" spans="4:44" x14ac:dyDescent="0.25">
      <c r="D151" t="s">
        <v>161</v>
      </c>
      <c r="E151">
        <v>3.04</v>
      </c>
      <c r="G151" t="s">
        <v>161</v>
      </c>
      <c r="H151">
        <v>3.04</v>
      </c>
      <c r="J151" t="s">
        <v>161</v>
      </c>
      <c r="K151">
        <v>3.04</v>
      </c>
      <c r="M151" t="s">
        <v>161</v>
      </c>
      <c r="N151">
        <v>3.04</v>
      </c>
      <c r="P151" t="s">
        <v>161</v>
      </c>
      <c r="Q151">
        <v>4.2300000000000004</v>
      </c>
      <c r="S151" t="s">
        <v>161</v>
      </c>
      <c r="T151">
        <v>4.2300000000000004</v>
      </c>
      <c r="V151" t="s">
        <v>161</v>
      </c>
      <c r="W151">
        <v>4.2300000000000004</v>
      </c>
      <c r="Y151" t="s">
        <v>161</v>
      </c>
      <c r="Z151">
        <v>4.2300000000000004</v>
      </c>
      <c r="AB151" t="s">
        <v>161</v>
      </c>
      <c r="AC151">
        <v>3.75</v>
      </c>
      <c r="AE151" t="s">
        <v>161</v>
      </c>
      <c r="AF151">
        <v>3.75</v>
      </c>
      <c r="AH151" t="s">
        <v>161</v>
      </c>
      <c r="AI151">
        <v>3.75</v>
      </c>
      <c r="AK151" t="s">
        <v>161</v>
      </c>
      <c r="AL151">
        <v>3.75</v>
      </c>
      <c r="AN151" t="s">
        <v>161</v>
      </c>
      <c r="AO151">
        <v>3.75</v>
      </c>
      <c r="AQ151" t="s">
        <v>161</v>
      </c>
      <c r="AR151">
        <v>3.75</v>
      </c>
    </row>
    <row r="152" spans="4:44" x14ac:dyDescent="0.25">
      <c r="D152" t="s">
        <v>162</v>
      </c>
      <c r="E152">
        <v>0.61</v>
      </c>
      <c r="G152" t="s">
        <v>162</v>
      </c>
      <c r="H152">
        <v>0.61</v>
      </c>
      <c r="J152" t="s">
        <v>162</v>
      </c>
      <c r="K152">
        <v>0.61</v>
      </c>
      <c r="M152" t="s">
        <v>162</v>
      </c>
      <c r="N152">
        <v>0.61</v>
      </c>
      <c r="P152" t="s">
        <v>162</v>
      </c>
      <c r="Q152">
        <v>0.85</v>
      </c>
      <c r="S152" t="s">
        <v>162</v>
      </c>
      <c r="T152">
        <v>0.85</v>
      </c>
      <c r="V152" t="s">
        <v>162</v>
      </c>
      <c r="W152">
        <v>0.85</v>
      </c>
      <c r="Y152" t="s">
        <v>162</v>
      </c>
      <c r="Z152">
        <v>0.85</v>
      </c>
      <c r="AB152" t="s">
        <v>162</v>
      </c>
      <c r="AC152">
        <v>0.75</v>
      </c>
      <c r="AE152" t="s">
        <v>162</v>
      </c>
      <c r="AF152">
        <v>0.75</v>
      </c>
      <c r="AH152" t="s">
        <v>162</v>
      </c>
      <c r="AI152">
        <v>0.75</v>
      </c>
      <c r="AK152" t="s">
        <v>162</v>
      </c>
      <c r="AL152">
        <v>0.75</v>
      </c>
      <c r="AN152" t="s">
        <v>162</v>
      </c>
      <c r="AO152">
        <v>0.75</v>
      </c>
      <c r="AQ152" t="s">
        <v>162</v>
      </c>
      <c r="AR152">
        <v>0.75</v>
      </c>
    </row>
    <row r="153" spans="4:44" x14ac:dyDescent="0.25">
      <c r="D153" t="s">
        <v>163</v>
      </c>
      <c r="E153">
        <v>2.72</v>
      </c>
      <c r="G153" t="s">
        <v>163</v>
      </c>
      <c r="H153">
        <v>2.72</v>
      </c>
      <c r="J153" t="s">
        <v>163</v>
      </c>
      <c r="K153">
        <v>2.72</v>
      </c>
      <c r="M153" t="s">
        <v>163</v>
      </c>
      <c r="N153">
        <v>2.72</v>
      </c>
      <c r="P153" t="s">
        <v>163</v>
      </c>
      <c r="Q153">
        <v>3.79</v>
      </c>
      <c r="S153" t="s">
        <v>163</v>
      </c>
      <c r="T153">
        <v>3.79</v>
      </c>
      <c r="V153" t="s">
        <v>163</v>
      </c>
      <c r="W153">
        <v>3.79</v>
      </c>
      <c r="Y153" t="s">
        <v>163</v>
      </c>
      <c r="Z153">
        <v>3.79</v>
      </c>
      <c r="AB153" t="s">
        <v>163</v>
      </c>
      <c r="AC153">
        <v>3.36</v>
      </c>
      <c r="AE153" t="s">
        <v>163</v>
      </c>
      <c r="AF153">
        <v>3.36</v>
      </c>
      <c r="AH153" t="s">
        <v>163</v>
      </c>
      <c r="AI153">
        <v>3.36</v>
      </c>
      <c r="AK153" t="s">
        <v>163</v>
      </c>
      <c r="AL153">
        <v>3.36</v>
      </c>
      <c r="AN153" t="s">
        <v>163</v>
      </c>
      <c r="AO153">
        <v>3.36</v>
      </c>
      <c r="AQ153" t="s">
        <v>163</v>
      </c>
      <c r="AR153">
        <v>3.36</v>
      </c>
    </row>
    <row r="154" spans="4:44" x14ac:dyDescent="0.25">
      <c r="D154" t="s">
        <v>164</v>
      </c>
      <c r="E154">
        <v>0.38</v>
      </c>
      <c r="G154" t="s">
        <v>164</v>
      </c>
      <c r="H154">
        <v>0.38</v>
      </c>
      <c r="J154" t="s">
        <v>164</v>
      </c>
      <c r="K154">
        <v>0.38</v>
      </c>
      <c r="M154" t="s">
        <v>164</v>
      </c>
      <c r="N154">
        <v>0.38</v>
      </c>
      <c r="P154" t="s">
        <v>164</v>
      </c>
      <c r="Q154">
        <v>0.53</v>
      </c>
      <c r="S154" t="s">
        <v>164</v>
      </c>
      <c r="T154">
        <v>0.53</v>
      </c>
      <c r="V154" t="s">
        <v>164</v>
      </c>
      <c r="W154">
        <v>0.53</v>
      </c>
      <c r="Y154" t="s">
        <v>164</v>
      </c>
      <c r="Z154">
        <v>0.53</v>
      </c>
      <c r="AB154" t="s">
        <v>164</v>
      </c>
      <c r="AC154">
        <v>0.47</v>
      </c>
      <c r="AE154" t="s">
        <v>164</v>
      </c>
      <c r="AF154">
        <v>0.47</v>
      </c>
      <c r="AH154" t="s">
        <v>164</v>
      </c>
      <c r="AI154">
        <v>0.47</v>
      </c>
      <c r="AK154" t="s">
        <v>164</v>
      </c>
      <c r="AL154">
        <v>0.47</v>
      </c>
      <c r="AN154" t="s">
        <v>164</v>
      </c>
      <c r="AO154">
        <v>0.47</v>
      </c>
      <c r="AQ154" t="s">
        <v>164</v>
      </c>
      <c r="AR154">
        <v>0.47</v>
      </c>
    </row>
    <row r="155" spans="4:44" x14ac:dyDescent="0.25">
      <c r="D155" t="s">
        <v>165</v>
      </c>
      <c r="E155">
        <v>0.23</v>
      </c>
      <c r="G155" t="s">
        <v>165</v>
      </c>
      <c r="H155">
        <v>0.23</v>
      </c>
      <c r="J155" t="s">
        <v>165</v>
      </c>
      <c r="K155">
        <v>0.23</v>
      </c>
      <c r="M155" t="s">
        <v>165</v>
      </c>
      <c r="N155">
        <v>0.23</v>
      </c>
      <c r="P155" t="s">
        <v>165</v>
      </c>
      <c r="Q155">
        <v>0.32</v>
      </c>
      <c r="S155" t="s">
        <v>165</v>
      </c>
      <c r="T155">
        <v>0.32</v>
      </c>
      <c r="V155" t="s">
        <v>165</v>
      </c>
      <c r="W155">
        <v>0.32</v>
      </c>
      <c r="Y155" t="s">
        <v>165</v>
      </c>
      <c r="Z155">
        <v>0.32</v>
      </c>
      <c r="AB155" t="s">
        <v>165</v>
      </c>
      <c r="AC155">
        <v>0.28000000000000003</v>
      </c>
      <c r="AE155" t="s">
        <v>165</v>
      </c>
      <c r="AF155">
        <v>0.28000000000000003</v>
      </c>
      <c r="AH155" t="s">
        <v>165</v>
      </c>
      <c r="AI155">
        <v>0.28000000000000003</v>
      </c>
      <c r="AK155" t="s">
        <v>165</v>
      </c>
      <c r="AL155">
        <v>0.28000000000000003</v>
      </c>
      <c r="AN155" t="s">
        <v>165</v>
      </c>
      <c r="AO155">
        <v>0.28000000000000003</v>
      </c>
      <c r="AQ155" t="s">
        <v>165</v>
      </c>
      <c r="AR155">
        <v>0.28000000000000003</v>
      </c>
    </row>
    <row r="156" spans="4:44" x14ac:dyDescent="0.25">
      <c r="D156" t="s">
        <v>166</v>
      </c>
      <c r="E156">
        <v>469.35</v>
      </c>
      <c r="G156" t="s">
        <v>166</v>
      </c>
      <c r="H156">
        <v>469.35</v>
      </c>
      <c r="J156" t="s">
        <v>166</v>
      </c>
      <c r="K156">
        <v>469.35</v>
      </c>
      <c r="M156" t="s">
        <v>166</v>
      </c>
      <c r="N156">
        <v>469.35</v>
      </c>
      <c r="P156" t="s">
        <v>166</v>
      </c>
      <c r="Q156">
        <v>480.38</v>
      </c>
      <c r="S156" t="s">
        <v>166</v>
      </c>
      <c r="T156">
        <v>466.71</v>
      </c>
      <c r="V156" t="s">
        <v>166</v>
      </c>
      <c r="W156">
        <v>472.22</v>
      </c>
      <c r="Y156" t="s">
        <v>166</v>
      </c>
      <c r="Z156">
        <v>461.07</v>
      </c>
      <c r="AB156" t="s">
        <v>166</v>
      </c>
      <c r="AC156">
        <v>481.66</v>
      </c>
      <c r="AE156" t="s">
        <v>166</v>
      </c>
      <c r="AF156">
        <v>467.71</v>
      </c>
      <c r="AH156" t="s">
        <v>166</v>
      </c>
      <c r="AI156">
        <v>472.82</v>
      </c>
      <c r="AK156" t="s">
        <v>166</v>
      </c>
      <c r="AL156">
        <v>462.1</v>
      </c>
      <c r="AN156" t="s">
        <v>166</v>
      </c>
      <c r="AO156">
        <v>508.28</v>
      </c>
      <c r="AQ156" t="s">
        <v>166</v>
      </c>
      <c r="AR156">
        <v>508.94</v>
      </c>
    </row>
    <row r="157" spans="4:44" x14ac:dyDescent="0.25">
      <c r="D157" t="s">
        <v>167</v>
      </c>
      <c r="E157">
        <v>3.39</v>
      </c>
      <c r="G157" t="s">
        <v>167</v>
      </c>
      <c r="H157">
        <v>3.39</v>
      </c>
      <c r="J157" t="s">
        <v>167</v>
      </c>
      <c r="K157">
        <v>3.39</v>
      </c>
      <c r="M157" t="s">
        <v>167</v>
      </c>
      <c r="N157">
        <v>3.39</v>
      </c>
      <c r="P157" t="s">
        <v>167</v>
      </c>
      <c r="Q157">
        <v>4.71</v>
      </c>
      <c r="S157" t="s">
        <v>167</v>
      </c>
      <c r="T157">
        <v>4.71</v>
      </c>
      <c r="V157" t="s">
        <v>167</v>
      </c>
      <c r="W157">
        <v>4.71</v>
      </c>
      <c r="Y157" t="s">
        <v>167</v>
      </c>
      <c r="Z157">
        <v>4.71</v>
      </c>
      <c r="AB157" t="s">
        <v>167</v>
      </c>
      <c r="AC157">
        <v>4.17</v>
      </c>
      <c r="AE157" t="s">
        <v>167</v>
      </c>
      <c r="AF157">
        <v>4.17</v>
      </c>
      <c r="AH157" t="s">
        <v>167</v>
      </c>
      <c r="AI157">
        <v>4.17</v>
      </c>
      <c r="AK157" t="s">
        <v>167</v>
      </c>
      <c r="AL157">
        <v>4.17</v>
      </c>
      <c r="AN157" t="s">
        <v>167</v>
      </c>
      <c r="AO157">
        <v>4.17</v>
      </c>
      <c r="AQ157" t="s">
        <v>167</v>
      </c>
      <c r="AR157">
        <v>4.17</v>
      </c>
    </row>
    <row r="158" spans="4:44" x14ac:dyDescent="0.25">
      <c r="D158" t="s">
        <v>335</v>
      </c>
      <c r="E158">
        <v>23.2</v>
      </c>
      <c r="G158" t="s">
        <v>335</v>
      </c>
      <c r="H158">
        <v>23.2</v>
      </c>
      <c r="J158" t="s">
        <v>335</v>
      </c>
      <c r="K158">
        <v>23.2</v>
      </c>
      <c r="M158" t="s">
        <v>335</v>
      </c>
      <c r="N158">
        <v>23.2</v>
      </c>
      <c r="P158" t="s">
        <v>335</v>
      </c>
      <c r="Q158">
        <v>26.76</v>
      </c>
      <c r="S158" t="s">
        <v>335</v>
      </c>
      <c r="T158">
        <v>26.76</v>
      </c>
      <c r="V158" t="s">
        <v>335</v>
      </c>
      <c r="W158">
        <v>26.76</v>
      </c>
      <c r="Y158" t="s">
        <v>335</v>
      </c>
      <c r="Z158">
        <v>26.76</v>
      </c>
      <c r="AB158" t="s">
        <v>335</v>
      </c>
      <c r="AC158">
        <v>28.29</v>
      </c>
      <c r="AE158" t="s">
        <v>335</v>
      </c>
      <c r="AF158">
        <v>28.29</v>
      </c>
      <c r="AH158" t="s">
        <v>335</v>
      </c>
      <c r="AI158">
        <v>28.29</v>
      </c>
      <c r="AK158" t="s">
        <v>335</v>
      </c>
      <c r="AL158">
        <v>28.29</v>
      </c>
      <c r="AN158" t="s">
        <v>335</v>
      </c>
      <c r="AO158">
        <v>28.29</v>
      </c>
      <c r="AQ158" t="s">
        <v>335</v>
      </c>
      <c r="AR158">
        <v>28.29</v>
      </c>
    </row>
    <row r="159" spans="4:44" x14ac:dyDescent="0.25">
      <c r="D159" t="s">
        <v>168</v>
      </c>
      <c r="E159">
        <v>0.53</v>
      </c>
      <c r="G159" t="s">
        <v>168</v>
      </c>
      <c r="H159">
        <v>0.53</v>
      </c>
      <c r="J159" t="s">
        <v>168</v>
      </c>
      <c r="K159">
        <v>0.53</v>
      </c>
      <c r="M159" t="s">
        <v>168</v>
      </c>
      <c r="N159">
        <v>0.53</v>
      </c>
      <c r="P159" t="s">
        <v>168</v>
      </c>
      <c r="Q159">
        <v>0.74</v>
      </c>
      <c r="S159" t="s">
        <v>168</v>
      </c>
      <c r="T159">
        <v>0.74</v>
      </c>
      <c r="V159" t="s">
        <v>168</v>
      </c>
      <c r="W159">
        <v>0.74</v>
      </c>
      <c r="Y159" t="s">
        <v>168</v>
      </c>
      <c r="Z159">
        <v>0.74</v>
      </c>
      <c r="AB159" t="s">
        <v>168</v>
      </c>
      <c r="AC159">
        <v>0.66</v>
      </c>
      <c r="AE159" t="s">
        <v>168</v>
      </c>
      <c r="AF159">
        <v>0.66</v>
      </c>
      <c r="AH159" t="s">
        <v>168</v>
      </c>
      <c r="AI159">
        <v>0.66</v>
      </c>
      <c r="AK159" t="s">
        <v>168</v>
      </c>
      <c r="AL159">
        <v>0.66</v>
      </c>
      <c r="AN159" t="s">
        <v>168</v>
      </c>
      <c r="AO159">
        <v>0.66</v>
      </c>
      <c r="AQ159" t="s">
        <v>168</v>
      </c>
      <c r="AR159">
        <v>0.66</v>
      </c>
    </row>
    <row r="160" spans="4:44" x14ac:dyDescent="0.25">
      <c r="D160" t="s">
        <v>169</v>
      </c>
      <c r="E160">
        <v>1.3</v>
      </c>
      <c r="G160" t="s">
        <v>169</v>
      </c>
      <c r="H160">
        <v>1.3</v>
      </c>
      <c r="J160" t="s">
        <v>169</v>
      </c>
      <c r="K160">
        <v>1.3</v>
      </c>
      <c r="M160" t="s">
        <v>169</v>
      </c>
      <c r="N160">
        <v>1.3</v>
      </c>
      <c r="P160" t="s">
        <v>169</v>
      </c>
      <c r="Q160">
        <v>1.81</v>
      </c>
      <c r="S160" t="s">
        <v>169</v>
      </c>
      <c r="T160">
        <v>1.81</v>
      </c>
      <c r="V160" t="s">
        <v>169</v>
      </c>
      <c r="W160">
        <v>1.81</v>
      </c>
      <c r="Y160" t="s">
        <v>169</v>
      </c>
      <c r="Z160">
        <v>1.81</v>
      </c>
      <c r="AB160" t="s">
        <v>169</v>
      </c>
      <c r="AC160">
        <v>1.61</v>
      </c>
      <c r="AE160" t="s">
        <v>169</v>
      </c>
      <c r="AF160">
        <v>1.61</v>
      </c>
      <c r="AH160" t="s">
        <v>169</v>
      </c>
      <c r="AI160">
        <v>1.61</v>
      </c>
      <c r="AK160" t="s">
        <v>169</v>
      </c>
      <c r="AL160">
        <v>1.61</v>
      </c>
      <c r="AN160" t="s">
        <v>169</v>
      </c>
      <c r="AO160">
        <v>1.61</v>
      </c>
      <c r="AQ160" t="s">
        <v>169</v>
      </c>
      <c r="AR160">
        <v>1.61</v>
      </c>
    </row>
    <row r="161" spans="4:47" x14ac:dyDescent="0.25">
      <c r="D161" t="s">
        <v>170</v>
      </c>
      <c r="E161">
        <v>13.07</v>
      </c>
      <c r="G161" t="s">
        <v>170</v>
      </c>
      <c r="H161">
        <v>13.07</v>
      </c>
      <c r="J161" t="s">
        <v>170</v>
      </c>
      <c r="K161">
        <v>13.07</v>
      </c>
      <c r="M161" t="s">
        <v>170</v>
      </c>
      <c r="N161">
        <v>13.07</v>
      </c>
      <c r="P161" t="s">
        <v>170</v>
      </c>
      <c r="Q161">
        <v>18.350000000000001</v>
      </c>
      <c r="S161" t="s">
        <v>170</v>
      </c>
      <c r="T161">
        <v>18.350000000000001</v>
      </c>
      <c r="V161" t="s">
        <v>170</v>
      </c>
      <c r="W161">
        <v>18.350000000000001</v>
      </c>
      <c r="Y161" t="s">
        <v>170</v>
      </c>
      <c r="Z161">
        <v>18.350000000000001</v>
      </c>
      <c r="AB161" t="s">
        <v>170</v>
      </c>
      <c r="AC161">
        <v>16.29</v>
      </c>
      <c r="AE161" t="s">
        <v>170</v>
      </c>
      <c r="AF161">
        <v>16.29</v>
      </c>
      <c r="AH161" t="s">
        <v>170</v>
      </c>
      <c r="AI161">
        <v>16.29</v>
      </c>
      <c r="AK161" t="s">
        <v>170</v>
      </c>
      <c r="AL161">
        <v>16.29</v>
      </c>
      <c r="AN161" t="s">
        <v>170</v>
      </c>
      <c r="AO161">
        <v>16.29</v>
      </c>
      <c r="AQ161" t="s">
        <v>170</v>
      </c>
      <c r="AR161">
        <v>16.29</v>
      </c>
    </row>
    <row r="162" spans="4:47" x14ac:dyDescent="0.25">
      <c r="D162" t="s">
        <v>171</v>
      </c>
      <c r="E162">
        <v>207.52</v>
      </c>
      <c r="G162" t="s">
        <v>171</v>
      </c>
      <c r="H162">
        <v>207.52</v>
      </c>
      <c r="J162" t="s">
        <v>171</v>
      </c>
      <c r="K162">
        <v>207.52</v>
      </c>
      <c r="M162" t="s">
        <v>171</v>
      </c>
      <c r="N162">
        <v>207.52</v>
      </c>
      <c r="P162" t="s">
        <v>171</v>
      </c>
      <c r="Q162">
        <v>191.58</v>
      </c>
      <c r="S162" t="s">
        <v>171</v>
      </c>
      <c r="T162">
        <v>171.07</v>
      </c>
      <c r="V162" t="s">
        <v>171</v>
      </c>
      <c r="W162">
        <v>179.34</v>
      </c>
      <c r="Y162" t="s">
        <v>171</v>
      </c>
      <c r="Z162">
        <v>162.61000000000001</v>
      </c>
      <c r="AB162" t="s">
        <v>171</v>
      </c>
      <c r="AC162">
        <v>189.19</v>
      </c>
      <c r="AE162" t="s">
        <v>171</v>
      </c>
      <c r="AF162">
        <v>168.27</v>
      </c>
      <c r="AH162" t="s">
        <v>171</v>
      </c>
      <c r="AI162">
        <v>175.94</v>
      </c>
      <c r="AK162" t="s">
        <v>171</v>
      </c>
      <c r="AL162">
        <v>159.85</v>
      </c>
      <c r="AN162" t="s">
        <v>171</v>
      </c>
      <c r="AO162">
        <v>134.47</v>
      </c>
      <c r="AQ162" t="s">
        <v>171</v>
      </c>
      <c r="AR162">
        <v>230.12</v>
      </c>
    </row>
    <row r="163" spans="4:47" x14ac:dyDescent="0.25">
      <c r="D163" t="s">
        <v>173</v>
      </c>
      <c r="E163">
        <v>-14.39</v>
      </c>
      <c r="G163" t="s">
        <v>173</v>
      </c>
      <c r="H163">
        <v>-14.39</v>
      </c>
      <c r="J163" t="s">
        <v>173</v>
      </c>
      <c r="K163">
        <v>-14.39</v>
      </c>
      <c r="M163" t="s">
        <v>173</v>
      </c>
      <c r="N163">
        <v>-14.39</v>
      </c>
      <c r="P163" t="s">
        <v>173</v>
      </c>
      <c r="Q163">
        <v>-20.149999999999999</v>
      </c>
      <c r="S163" t="s">
        <v>173</v>
      </c>
      <c r="T163">
        <v>-20.149999999999999</v>
      </c>
      <c r="V163" t="s">
        <v>173</v>
      </c>
      <c r="W163">
        <v>-20.149999999999999</v>
      </c>
      <c r="Y163" t="s">
        <v>173</v>
      </c>
      <c r="Z163">
        <v>-20.149999999999999</v>
      </c>
      <c r="AB163" t="s">
        <v>173</v>
      </c>
      <c r="AC163">
        <v>-17.95</v>
      </c>
      <c r="AE163" t="s">
        <v>173</v>
      </c>
      <c r="AF163">
        <v>-17.95</v>
      </c>
      <c r="AH163" t="s">
        <v>173</v>
      </c>
      <c r="AI163">
        <v>-17.95</v>
      </c>
      <c r="AK163" t="s">
        <v>173</v>
      </c>
      <c r="AL163">
        <v>-17.95</v>
      </c>
      <c r="AN163" t="s">
        <v>173</v>
      </c>
      <c r="AO163">
        <v>-17.95</v>
      </c>
      <c r="AQ163" t="s">
        <v>173</v>
      </c>
      <c r="AR163">
        <v>-17.95</v>
      </c>
    </row>
    <row r="164" spans="4:47" x14ac:dyDescent="0.25">
      <c r="D164" t="s">
        <v>174</v>
      </c>
      <c r="E164">
        <v>-0.67</v>
      </c>
      <c r="G164" t="s">
        <v>174</v>
      </c>
      <c r="H164">
        <v>-0.67</v>
      </c>
      <c r="J164" t="s">
        <v>174</v>
      </c>
      <c r="K164">
        <v>-0.67</v>
      </c>
      <c r="M164" t="s">
        <v>174</v>
      </c>
      <c r="N164">
        <v>-0.67</v>
      </c>
      <c r="P164" t="s">
        <v>174</v>
      </c>
      <c r="Q164">
        <v>-0.91</v>
      </c>
      <c r="S164" t="s">
        <v>174</v>
      </c>
      <c r="T164">
        <v>-0.91</v>
      </c>
      <c r="V164" t="s">
        <v>174</v>
      </c>
      <c r="W164">
        <v>-0.91</v>
      </c>
      <c r="Y164" t="s">
        <v>174</v>
      </c>
      <c r="Z164">
        <v>-0.91</v>
      </c>
      <c r="AB164" t="s">
        <v>174</v>
      </c>
      <c r="AC164">
        <v>-0.84</v>
      </c>
      <c r="AE164" t="s">
        <v>174</v>
      </c>
      <c r="AF164">
        <v>-0.84</v>
      </c>
      <c r="AH164" t="s">
        <v>174</v>
      </c>
      <c r="AI164">
        <v>-0.84</v>
      </c>
      <c r="AK164" t="s">
        <v>174</v>
      </c>
      <c r="AL164">
        <v>-0.84</v>
      </c>
      <c r="AN164" t="s">
        <v>174</v>
      </c>
      <c r="AO164">
        <v>-0.84</v>
      </c>
      <c r="AQ164" t="s">
        <v>174</v>
      </c>
      <c r="AR164">
        <v>-0.84</v>
      </c>
    </row>
    <row r="165" spans="4:47" x14ac:dyDescent="0.25">
      <c r="D165" t="s">
        <v>175</v>
      </c>
      <c r="E165">
        <v>-0.12</v>
      </c>
      <c r="G165" t="s">
        <v>175</v>
      </c>
      <c r="H165">
        <v>-0.12</v>
      </c>
      <c r="J165" t="s">
        <v>175</v>
      </c>
      <c r="K165">
        <v>-0.12</v>
      </c>
      <c r="M165" t="s">
        <v>175</v>
      </c>
      <c r="N165">
        <v>-0.12</v>
      </c>
      <c r="P165" t="s">
        <v>175</v>
      </c>
      <c r="Q165">
        <v>-0.16</v>
      </c>
      <c r="S165" t="s">
        <v>175</v>
      </c>
      <c r="T165">
        <v>-0.16</v>
      </c>
      <c r="V165" t="s">
        <v>175</v>
      </c>
      <c r="W165">
        <v>-0.16</v>
      </c>
      <c r="Y165" t="s">
        <v>175</v>
      </c>
      <c r="Z165">
        <v>-0.16</v>
      </c>
      <c r="AB165" t="s">
        <v>175</v>
      </c>
      <c r="AC165">
        <v>-0.15</v>
      </c>
      <c r="AE165" t="s">
        <v>175</v>
      </c>
      <c r="AF165">
        <v>-0.15</v>
      </c>
      <c r="AH165" t="s">
        <v>175</v>
      </c>
      <c r="AI165">
        <v>-0.15</v>
      </c>
      <c r="AK165" t="s">
        <v>175</v>
      </c>
      <c r="AL165">
        <v>-0.15</v>
      </c>
      <c r="AN165" t="s">
        <v>175</v>
      </c>
      <c r="AO165">
        <v>-0.15</v>
      </c>
      <c r="AQ165" t="s">
        <v>175</v>
      </c>
      <c r="AR165">
        <v>-0.15</v>
      </c>
    </row>
    <row r="166" spans="4:47" x14ac:dyDescent="0.25">
      <c r="D166" t="s">
        <v>435</v>
      </c>
      <c r="E166">
        <v>0</v>
      </c>
      <c r="G166" t="s">
        <v>435</v>
      </c>
      <c r="H166">
        <v>0</v>
      </c>
      <c r="J166" t="s">
        <v>435</v>
      </c>
      <c r="K166">
        <v>0</v>
      </c>
      <c r="M166" t="s">
        <v>435</v>
      </c>
      <c r="N166">
        <v>0</v>
      </c>
      <c r="P166" t="s">
        <v>435</v>
      </c>
      <c r="Q166">
        <v>0</v>
      </c>
      <c r="S166" t="s">
        <v>435</v>
      </c>
      <c r="T166">
        <v>0</v>
      </c>
      <c r="V166" t="s">
        <v>435</v>
      </c>
      <c r="W166">
        <v>0</v>
      </c>
      <c r="Y166" t="s">
        <v>435</v>
      </c>
      <c r="Z166">
        <v>0</v>
      </c>
      <c r="AB166" t="s">
        <v>435</v>
      </c>
      <c r="AC166">
        <v>0</v>
      </c>
      <c r="AE166" t="s">
        <v>435</v>
      </c>
      <c r="AF166">
        <v>0</v>
      </c>
      <c r="AH166" t="s">
        <v>435</v>
      </c>
      <c r="AI166">
        <v>0</v>
      </c>
      <c r="AK166" t="s">
        <v>435</v>
      </c>
      <c r="AL166">
        <v>0</v>
      </c>
      <c r="AN166" t="s">
        <v>435</v>
      </c>
      <c r="AO166">
        <v>94.67</v>
      </c>
      <c r="AQ166" t="s">
        <v>435</v>
      </c>
      <c r="AR166">
        <v>0</v>
      </c>
    </row>
    <row r="167" spans="4:47" x14ac:dyDescent="0.25">
      <c r="D167" t="s">
        <v>176</v>
      </c>
      <c r="E167">
        <v>-162.87</v>
      </c>
      <c r="G167" t="s">
        <v>176</v>
      </c>
      <c r="H167">
        <v>-162.87</v>
      </c>
      <c r="J167" t="s">
        <v>176</v>
      </c>
      <c r="K167">
        <v>-162.87</v>
      </c>
      <c r="M167" t="s">
        <v>176</v>
      </c>
      <c r="N167">
        <v>-162.87</v>
      </c>
      <c r="P167" t="s">
        <v>176</v>
      </c>
      <c r="Q167">
        <v>-135.76</v>
      </c>
      <c r="S167" t="s">
        <v>176</v>
      </c>
      <c r="T167">
        <v>-115.25</v>
      </c>
      <c r="V167" t="s">
        <v>176</v>
      </c>
      <c r="W167">
        <v>-123.51</v>
      </c>
      <c r="Y167" t="s">
        <v>176</v>
      </c>
      <c r="Z167">
        <v>-106.79</v>
      </c>
      <c r="AB167" t="s">
        <v>176</v>
      </c>
      <c r="AC167">
        <v>-136.54</v>
      </c>
      <c r="AE167" t="s">
        <v>176</v>
      </c>
      <c r="AF167">
        <v>-115.62</v>
      </c>
      <c r="AH167" t="s">
        <v>176</v>
      </c>
      <c r="AI167">
        <v>-123.29</v>
      </c>
      <c r="AK167" t="s">
        <v>176</v>
      </c>
      <c r="AL167">
        <v>-107.19</v>
      </c>
      <c r="AN167" t="s">
        <v>176</v>
      </c>
      <c r="AO167">
        <v>-223.81</v>
      </c>
      <c r="AQ167" t="s">
        <v>176</v>
      </c>
      <c r="AR167">
        <v>-177.46</v>
      </c>
    </row>
    <row r="168" spans="4:47" x14ac:dyDescent="0.25">
      <c r="D168" t="s">
        <v>177</v>
      </c>
      <c r="E168">
        <v>82.85</v>
      </c>
      <c r="G168" t="s">
        <v>177</v>
      </c>
      <c r="H168">
        <v>82.85</v>
      </c>
      <c r="J168" t="s">
        <v>177</v>
      </c>
      <c r="K168">
        <v>82.85</v>
      </c>
      <c r="M168" t="s">
        <v>177</v>
      </c>
      <c r="N168">
        <v>82.85</v>
      </c>
      <c r="P168" t="s">
        <v>177</v>
      </c>
      <c r="Q168">
        <v>60.4</v>
      </c>
      <c r="S168" t="s">
        <v>177</v>
      </c>
      <c r="T168">
        <v>46.73</v>
      </c>
      <c r="V168" t="s">
        <v>177</v>
      </c>
      <c r="W168">
        <v>52.24</v>
      </c>
      <c r="Y168" t="s">
        <v>177</v>
      </c>
      <c r="Z168">
        <v>41.09</v>
      </c>
      <c r="AB168" t="s">
        <v>177</v>
      </c>
      <c r="AC168">
        <v>59.68</v>
      </c>
      <c r="AE168" t="s">
        <v>177</v>
      </c>
      <c r="AF168">
        <v>45.74</v>
      </c>
      <c r="AH168" t="s">
        <v>177</v>
      </c>
      <c r="AI168">
        <v>50.85</v>
      </c>
      <c r="AK168" t="s">
        <v>177</v>
      </c>
      <c r="AL168">
        <v>40.119999999999997</v>
      </c>
      <c r="AN168" t="s">
        <v>177</v>
      </c>
      <c r="AO168">
        <v>86.31</v>
      </c>
      <c r="AQ168" t="s">
        <v>177</v>
      </c>
      <c r="AR168">
        <v>86.96</v>
      </c>
    </row>
    <row r="169" spans="4:47" x14ac:dyDescent="0.25">
      <c r="D169" t="s">
        <v>363</v>
      </c>
      <c r="E169">
        <v>0</v>
      </c>
      <c r="G169" t="s">
        <v>363</v>
      </c>
      <c r="H169">
        <v>0</v>
      </c>
      <c r="J169" t="s">
        <v>363</v>
      </c>
      <c r="K169">
        <v>0</v>
      </c>
      <c r="M169" t="s">
        <v>363</v>
      </c>
      <c r="N169">
        <v>0</v>
      </c>
      <c r="P169" t="s">
        <v>363</v>
      </c>
      <c r="Q169">
        <v>0</v>
      </c>
      <c r="S169" t="s">
        <v>363</v>
      </c>
      <c r="T169">
        <v>0</v>
      </c>
      <c r="V169" t="s">
        <v>363</v>
      </c>
      <c r="W169">
        <v>0</v>
      </c>
      <c r="Y169" t="s">
        <v>363</v>
      </c>
      <c r="Z169">
        <v>0</v>
      </c>
      <c r="AB169" t="s">
        <v>363</v>
      </c>
      <c r="AC169">
        <v>0</v>
      </c>
      <c r="AE169" t="s">
        <v>363</v>
      </c>
      <c r="AF169">
        <v>0</v>
      </c>
      <c r="AH169" t="s">
        <v>363</v>
      </c>
      <c r="AI169">
        <v>0</v>
      </c>
      <c r="AK169" t="s">
        <v>363</v>
      </c>
      <c r="AL169">
        <v>0</v>
      </c>
      <c r="AN169" t="s">
        <v>363</v>
      </c>
      <c r="AO169">
        <v>0</v>
      </c>
      <c r="AQ169" t="s">
        <v>363</v>
      </c>
      <c r="AR169">
        <v>0</v>
      </c>
    </row>
    <row r="170" spans="4:47" x14ac:dyDescent="0.25">
      <c r="D170" t="s">
        <v>336</v>
      </c>
      <c r="E170">
        <v>-85.67</v>
      </c>
      <c r="G170" t="s">
        <v>336</v>
      </c>
      <c r="H170">
        <v>-85.67</v>
      </c>
      <c r="J170" t="s">
        <v>336</v>
      </c>
      <c r="K170">
        <v>-85.67</v>
      </c>
      <c r="M170" t="s">
        <v>336</v>
      </c>
      <c r="N170">
        <v>-85.67</v>
      </c>
      <c r="P170" t="s">
        <v>336</v>
      </c>
      <c r="Q170">
        <v>-79.760000000000005</v>
      </c>
      <c r="S170" t="s">
        <v>336</v>
      </c>
      <c r="T170">
        <v>-72.92</v>
      </c>
      <c r="V170" t="s">
        <v>336</v>
      </c>
      <c r="W170">
        <v>-75.680000000000007</v>
      </c>
      <c r="Y170" t="s">
        <v>336</v>
      </c>
      <c r="Z170">
        <v>-70.099999999999994</v>
      </c>
      <c r="AB170" t="s">
        <v>336</v>
      </c>
      <c r="AC170">
        <v>-81.349999999999994</v>
      </c>
      <c r="AE170" t="s">
        <v>336</v>
      </c>
      <c r="AF170">
        <v>-74.38</v>
      </c>
      <c r="AH170" t="s">
        <v>336</v>
      </c>
      <c r="AI170">
        <v>-76.94</v>
      </c>
      <c r="AK170" t="s">
        <v>336</v>
      </c>
      <c r="AL170">
        <v>-71.569999999999993</v>
      </c>
      <c r="AN170" t="s">
        <v>336</v>
      </c>
      <c r="AO170">
        <v>-94.67</v>
      </c>
      <c r="AQ170" t="s">
        <v>336</v>
      </c>
      <c r="AR170">
        <v>-94.99</v>
      </c>
    </row>
    <row r="171" spans="4:47" x14ac:dyDescent="0.25">
      <c r="D171" t="s">
        <v>360</v>
      </c>
      <c r="E171">
        <v>100</v>
      </c>
      <c r="G171" t="s">
        <v>360</v>
      </c>
      <c r="H171">
        <v>100</v>
      </c>
      <c r="J171" t="s">
        <v>360</v>
      </c>
      <c r="K171">
        <v>100</v>
      </c>
      <c r="M171" t="s">
        <v>360</v>
      </c>
      <c r="N171">
        <v>100</v>
      </c>
      <c r="P171" t="s">
        <v>360</v>
      </c>
      <c r="Q171">
        <v>100</v>
      </c>
      <c r="S171" t="s">
        <v>360</v>
      </c>
      <c r="T171">
        <v>100</v>
      </c>
      <c r="V171" t="s">
        <v>360</v>
      </c>
      <c r="W171">
        <v>100</v>
      </c>
      <c r="Y171" t="s">
        <v>360</v>
      </c>
      <c r="Z171">
        <v>100</v>
      </c>
      <c r="AB171" t="s">
        <v>360</v>
      </c>
      <c r="AC171">
        <v>100</v>
      </c>
      <c r="AE171" t="s">
        <v>360</v>
      </c>
      <c r="AF171">
        <v>100</v>
      </c>
      <c r="AH171" t="s">
        <v>360</v>
      </c>
      <c r="AI171">
        <v>100</v>
      </c>
      <c r="AK171" t="s">
        <v>360</v>
      </c>
      <c r="AL171">
        <v>100</v>
      </c>
      <c r="AN171" t="s">
        <v>360</v>
      </c>
      <c r="AO171">
        <v>100</v>
      </c>
      <c r="AQ171" t="s">
        <v>360</v>
      </c>
      <c r="AR171">
        <v>100</v>
      </c>
      <c r="AU171" s="10"/>
    </row>
    <row r="172" spans="4:47" x14ac:dyDescent="0.25">
      <c r="D172" t="s">
        <v>178</v>
      </c>
      <c r="E172">
        <v>194.97</v>
      </c>
      <c r="G172" t="s">
        <v>178</v>
      </c>
      <c r="H172">
        <v>194.97</v>
      </c>
      <c r="J172" t="s">
        <v>178</v>
      </c>
      <c r="K172">
        <v>194.97</v>
      </c>
      <c r="M172" t="s">
        <v>178</v>
      </c>
      <c r="N172">
        <v>194.97</v>
      </c>
      <c r="P172" t="s">
        <v>178</v>
      </c>
      <c r="Q172">
        <v>194.97</v>
      </c>
      <c r="S172" t="s">
        <v>178</v>
      </c>
      <c r="T172">
        <v>194.97</v>
      </c>
      <c r="V172" t="s">
        <v>178</v>
      </c>
      <c r="W172">
        <v>194.97</v>
      </c>
      <c r="Y172" t="s">
        <v>178</v>
      </c>
      <c r="Z172">
        <v>194.97</v>
      </c>
      <c r="AB172" t="s">
        <v>178</v>
      </c>
      <c r="AC172">
        <v>194.97</v>
      </c>
      <c r="AE172" t="s">
        <v>178</v>
      </c>
      <c r="AF172">
        <v>194.97</v>
      </c>
      <c r="AH172" t="s">
        <v>178</v>
      </c>
      <c r="AI172">
        <v>194.97</v>
      </c>
      <c r="AK172" t="s">
        <v>178</v>
      </c>
      <c r="AL172">
        <v>194.97</v>
      </c>
      <c r="AN172" t="s">
        <v>178</v>
      </c>
      <c r="AO172">
        <v>194.97</v>
      </c>
      <c r="AQ172" t="s">
        <v>178</v>
      </c>
      <c r="AR172">
        <v>194.97</v>
      </c>
      <c r="AU172" s="10"/>
    </row>
    <row r="173" spans="4:47" x14ac:dyDescent="0.25">
      <c r="AO173" s="10"/>
      <c r="AR173" s="10"/>
      <c r="AU173" s="10"/>
    </row>
    <row r="174" spans="4:47" x14ac:dyDescent="0.25">
      <c r="D174" t="s">
        <v>349</v>
      </c>
      <c r="E174" s="10">
        <f>(E171*$B$179)/(-E170*$B$182)</f>
        <v>0.60024861031279997</v>
      </c>
      <c r="F174" t="s">
        <v>351</v>
      </c>
      <c r="G174" t="s">
        <v>349</v>
      </c>
      <c r="H174" s="10">
        <f>(H171*$B$179)/(-H170*$B$182)</f>
        <v>0.60024861031279997</v>
      </c>
      <c r="I174" t="s">
        <v>351</v>
      </c>
      <c r="J174" t="s">
        <v>349</v>
      </c>
      <c r="K174" s="10">
        <f>(K171*$B$179)/(-K170*$B$182)</f>
        <v>0.60024861031279997</v>
      </c>
      <c r="L174" t="s">
        <v>351</v>
      </c>
      <c r="M174" t="s">
        <v>349</v>
      </c>
      <c r="N174" s="10">
        <f>(N171*$B$179)/(-N170*$B$182)</f>
        <v>0.60024861031279997</v>
      </c>
      <c r="O174" t="s">
        <v>351</v>
      </c>
      <c r="P174" t="s">
        <v>349</v>
      </c>
      <c r="Q174" s="10">
        <f>(Q171*$B$180)/(-Q170*$B$182)</f>
        <v>0.6474668403774928</v>
      </c>
      <c r="R174" t="s">
        <v>351</v>
      </c>
      <c r="S174" t="s">
        <v>349</v>
      </c>
      <c r="T174" s="10">
        <f>(T171*$B$180)/(-T170*$B$182)</f>
        <v>0.70820015343539255</v>
      </c>
      <c r="U174" t="s">
        <v>351</v>
      </c>
      <c r="V174" t="s">
        <v>349</v>
      </c>
      <c r="W174" s="10">
        <f>(W171*$B$180)/(-W170*$B$182)</f>
        <v>0.6823725579876958</v>
      </c>
      <c r="X174" t="s">
        <v>351</v>
      </c>
      <c r="Y174" t="s">
        <v>349</v>
      </c>
      <c r="Z174" s="10">
        <f>(Z171*$B$180)/(-Z170*$B$182)</f>
        <v>0.7366898029744483</v>
      </c>
      <c r="AA174" t="s">
        <v>351</v>
      </c>
      <c r="AB174" t="s">
        <v>349</v>
      </c>
      <c r="AC174" s="10">
        <f>(AC171*$B$181)/(-AC170*$B$182)</f>
        <v>0.64358918679809507</v>
      </c>
      <c r="AD174" t="s">
        <v>351</v>
      </c>
      <c r="AE174" t="s">
        <v>349</v>
      </c>
      <c r="AF174" s="10">
        <f>(AF171*$B$181)/(-AF170*$B$182)</f>
        <v>0.70389863331574409</v>
      </c>
      <c r="AG174" t="s">
        <v>351</v>
      </c>
      <c r="AH174" t="s">
        <v>349</v>
      </c>
      <c r="AI174" s="10">
        <f>(AI171*$B$181)/(-AI170*$B$182)</f>
        <v>0.68047803932967299</v>
      </c>
      <c r="AJ174" t="s">
        <v>351</v>
      </c>
      <c r="AK174" t="s">
        <v>349</v>
      </c>
      <c r="AL174" s="10">
        <f>(AL171*$B$181)/(-AL170*$B$182)</f>
        <v>0.73153528498008991</v>
      </c>
      <c r="AM174" t="s">
        <v>351</v>
      </c>
      <c r="AN174" t="s">
        <v>349</v>
      </c>
      <c r="AO174" s="10">
        <f>(AO171*$B$181)/(-AO170*$B$182)</f>
        <v>0.55303665729402174</v>
      </c>
      <c r="AP174" t="s">
        <v>351</v>
      </c>
      <c r="AQ174" t="s">
        <v>349</v>
      </c>
      <c r="AR174" s="10">
        <f>(AR171*$B$181)/(-AR170*$B$182)</f>
        <v>0.5511736008635123</v>
      </c>
      <c r="AS174" t="s">
        <v>351</v>
      </c>
    </row>
    <row r="175" spans="4:47" x14ac:dyDescent="0.25">
      <c r="D175" t="s">
        <v>380</v>
      </c>
      <c r="E175" s="10">
        <f>(E171*$B$179)/-E167</f>
        <v>14.523679796726766</v>
      </c>
      <c r="F175" t="s">
        <v>383</v>
      </c>
      <c r="G175" t="s">
        <v>380</v>
      </c>
      <c r="H175" s="10">
        <f>(H171*$B$179)/-H167</f>
        <v>14.523679796726766</v>
      </c>
      <c r="I175" t="s">
        <v>383</v>
      </c>
      <c r="J175" t="s">
        <v>380</v>
      </c>
      <c r="K175" s="10">
        <f>(K171*$B$179)/-K167</f>
        <v>14.523679796726766</v>
      </c>
      <c r="L175" t="s">
        <v>383</v>
      </c>
      <c r="M175" t="s">
        <v>380</v>
      </c>
      <c r="N175" s="10">
        <f>(N171*$B$179)/-N167</f>
        <v>14.523679796726766</v>
      </c>
      <c r="O175" t="s">
        <v>383</v>
      </c>
      <c r="P175" t="s">
        <v>380</v>
      </c>
      <c r="Q175" s="10">
        <f>(Q171*$B$180)/-Q167</f>
        <v>17.498010744485903</v>
      </c>
      <c r="R175" t="s">
        <v>383</v>
      </c>
      <c r="S175" t="s">
        <v>380</v>
      </c>
      <c r="T175" s="10">
        <f>(T171*$B$180)/-T167</f>
        <v>20.61197343749593</v>
      </c>
      <c r="U175" t="s">
        <v>383</v>
      </c>
      <c r="V175" t="s">
        <v>380</v>
      </c>
      <c r="W175" s="10">
        <f>(W171*$B$180)/-W167</f>
        <v>19.233502863504217</v>
      </c>
      <c r="X175" t="s">
        <v>383</v>
      </c>
      <c r="Y175" t="s">
        <v>380</v>
      </c>
      <c r="Z175" s="10">
        <f>(Z171*$B$180)/-Z167</f>
        <v>22.244872541168704</v>
      </c>
      <c r="AA175" t="s">
        <v>383</v>
      </c>
      <c r="AB175" t="s">
        <v>380</v>
      </c>
      <c r="AC175" s="10">
        <f>(AC171*$B$181)/-AC167</f>
        <v>17.638604774550693</v>
      </c>
      <c r="AD175" t="s">
        <v>383</v>
      </c>
      <c r="AE175" t="s">
        <v>380</v>
      </c>
      <c r="AF175" s="10">
        <f>(AF171*$B$181)/-AF167</f>
        <v>20.830090779425287</v>
      </c>
      <c r="AG175" t="s">
        <v>383</v>
      </c>
      <c r="AH175" t="s">
        <v>380</v>
      </c>
      <c r="AI175" s="10">
        <f>(AI171*$B$181)/-AI167</f>
        <v>19.534229020335399</v>
      </c>
      <c r="AJ175" t="s">
        <v>383</v>
      </c>
      <c r="AK175" t="s">
        <v>380</v>
      </c>
      <c r="AL175" s="10">
        <f>(AL171*$B$181)/-AL167</f>
        <v>22.468281518025485</v>
      </c>
      <c r="AM175" t="s">
        <v>383</v>
      </c>
      <c r="AN175" t="s">
        <v>380</v>
      </c>
      <c r="AO175" s="10">
        <f>(AO171*$B$181)/-AO167</f>
        <v>10.760802001327695</v>
      </c>
      <c r="AP175" t="s">
        <v>383</v>
      </c>
      <c r="AQ175" t="s">
        <v>380</v>
      </c>
      <c r="AR175" s="10">
        <f>(AR171*$B$181)/-AR167</f>
        <v>13.571368736149845</v>
      </c>
      <c r="AS175" t="s">
        <v>383</v>
      </c>
    </row>
    <row r="176" spans="4:47" x14ac:dyDescent="0.25">
      <c r="D176" t="s">
        <v>381</v>
      </c>
      <c r="E176" s="10">
        <f>E168/-E167</f>
        <v>0.50868791060354879</v>
      </c>
      <c r="G176" t="s">
        <v>381</v>
      </c>
      <c r="H176" s="10">
        <f>H168/-H167</f>
        <v>0.50868791060354879</v>
      </c>
      <c r="J176" t="s">
        <v>381</v>
      </c>
      <c r="K176" s="10">
        <f>K168/-K167</f>
        <v>0.50868791060354879</v>
      </c>
      <c r="M176" t="s">
        <v>381</v>
      </c>
      <c r="N176" s="10">
        <f>N168/-N167</f>
        <v>0.50868791060354879</v>
      </c>
      <c r="P176" t="s">
        <v>381</v>
      </c>
      <c r="Q176" s="10">
        <f>Q168/-Q167</f>
        <v>0.44490276959340014</v>
      </c>
      <c r="S176" t="s">
        <v>381</v>
      </c>
      <c r="T176" s="10">
        <f>T168/-T167</f>
        <v>0.40546637744034703</v>
      </c>
      <c r="V176" t="s">
        <v>381</v>
      </c>
      <c r="W176" s="10">
        <f>W168/-W167</f>
        <v>0.42296170350578899</v>
      </c>
      <c r="Y176" t="s">
        <v>381</v>
      </c>
      <c r="Z176" s="10">
        <f>Z168/-Z167</f>
        <v>0.38477385522989044</v>
      </c>
      <c r="AB176" t="s">
        <v>381</v>
      </c>
      <c r="AC176" s="10">
        <f>AC168/-AC167</f>
        <v>0.43708803281089792</v>
      </c>
      <c r="AE176" t="s">
        <v>381</v>
      </c>
      <c r="AF176" s="10">
        <f>AF168/-AF167</f>
        <v>0.39560629648849682</v>
      </c>
      <c r="AH176" t="s">
        <v>381</v>
      </c>
      <c r="AI176" s="10">
        <f>AI168/-AI167</f>
        <v>0.41244220942493309</v>
      </c>
      <c r="AK176" t="s">
        <v>381</v>
      </c>
      <c r="AL176" s="10">
        <f>AL168/-AL167</f>
        <v>0.37428864632894859</v>
      </c>
      <c r="AN176" t="s">
        <v>381</v>
      </c>
      <c r="AO176" s="10">
        <f>AO168/-AO167</f>
        <v>0.38563960502211697</v>
      </c>
      <c r="AQ176" t="s">
        <v>381</v>
      </c>
      <c r="AR176" s="10">
        <f>AR168/-AR167</f>
        <v>0.49002592133438516</v>
      </c>
    </row>
    <row r="177" spans="1:45" x14ac:dyDescent="0.25">
      <c r="E177" t="s">
        <v>441</v>
      </c>
      <c r="F177" t="s">
        <v>356</v>
      </c>
      <c r="H177" t="s">
        <v>441</v>
      </c>
      <c r="I177" t="s">
        <v>356</v>
      </c>
      <c r="K177" t="s">
        <v>441</v>
      </c>
      <c r="L177" t="s">
        <v>356</v>
      </c>
      <c r="N177" t="s">
        <v>441</v>
      </c>
      <c r="O177" t="s">
        <v>356</v>
      </c>
      <c r="Q177" t="s">
        <v>441</v>
      </c>
      <c r="R177" t="s">
        <v>356</v>
      </c>
      <c r="T177" t="s">
        <v>441</v>
      </c>
      <c r="U177" t="s">
        <v>356</v>
      </c>
      <c r="W177" t="s">
        <v>441</v>
      </c>
      <c r="X177" t="s">
        <v>356</v>
      </c>
      <c r="Z177" t="s">
        <v>441</v>
      </c>
      <c r="AA177" t="s">
        <v>356</v>
      </c>
      <c r="AC177" t="s">
        <v>441</v>
      </c>
      <c r="AD177" t="s">
        <v>356</v>
      </c>
      <c r="AF177" t="s">
        <v>441</v>
      </c>
      <c r="AG177" t="s">
        <v>356</v>
      </c>
      <c r="AI177" t="s">
        <v>441</v>
      </c>
      <c r="AJ177" t="s">
        <v>356</v>
      </c>
      <c r="AL177" t="s">
        <v>441</v>
      </c>
      <c r="AM177" t="s">
        <v>356</v>
      </c>
      <c r="AO177" t="s">
        <v>441</v>
      </c>
      <c r="AP177" t="s">
        <v>356</v>
      </c>
      <c r="AR177" t="s">
        <v>441</v>
      </c>
      <c r="AS177" t="s">
        <v>356</v>
      </c>
    </row>
    <row r="178" spans="1:45" x14ac:dyDescent="0.25">
      <c r="A178" t="s">
        <v>388</v>
      </c>
      <c r="D178" t="str">
        <f>D13</f>
        <v>cACTAL deh (NAD)</v>
      </c>
      <c r="E178">
        <f>E13</f>
        <v>57.56</v>
      </c>
      <c r="F178" s="10">
        <f>E178/$B$179</f>
        <v>2.4333412784718913</v>
      </c>
      <c r="G178" t="str">
        <f>G13</f>
        <v>cACTAL deh (NAD)</v>
      </c>
      <c r="H178">
        <f>H13</f>
        <v>57.56</v>
      </c>
      <c r="I178" s="10">
        <f>H178/$B$179</f>
        <v>2.4333412784718913</v>
      </c>
      <c r="J178" t="str">
        <f>J128</f>
        <v>mACTAL deh (NAD)</v>
      </c>
      <c r="K178">
        <f>K128</f>
        <v>57.56</v>
      </c>
      <c r="L178" s="10">
        <f>K178/$B$179</f>
        <v>2.4333412784718913</v>
      </c>
      <c r="M178" t="str">
        <f>M128</f>
        <v>mACTAL deh (NAD)</v>
      </c>
      <c r="N178">
        <f>N128</f>
        <v>57.56</v>
      </c>
      <c r="O178" s="10">
        <f>N178/$B$179</f>
        <v>2.4333412784718913</v>
      </c>
      <c r="P178" t="str">
        <f>P13</f>
        <v>cACTAL deh (NAD)</v>
      </c>
      <c r="Q178">
        <f>Q13</f>
        <v>47.63</v>
      </c>
      <c r="R178" s="10">
        <f>Q178/$B$180</f>
        <v>2.0050262985377763</v>
      </c>
      <c r="S178" t="str">
        <f>S13</f>
        <v>cACTAL deh (NAD)</v>
      </c>
      <c r="T178">
        <f>T13</f>
        <v>40.79</v>
      </c>
      <c r="U178" s="10">
        <f>T178/$B$180</f>
        <v>1.7170905462388388</v>
      </c>
      <c r="V178" t="str">
        <f>V128</f>
        <v>mACTAL deh (NAD)</v>
      </c>
      <c r="W178">
        <f>W128</f>
        <v>43.55</v>
      </c>
      <c r="X178" s="10">
        <f>W178/$B$180</f>
        <v>1.8332751480436731</v>
      </c>
      <c r="Y178" t="str">
        <f>Y128</f>
        <v>mACTAL deh (NAD)</v>
      </c>
      <c r="Z178">
        <f>Z128</f>
        <v>37.97</v>
      </c>
      <c r="AA178" s="10">
        <f>Z178/$B$180</f>
        <v>1.5983801922208558</v>
      </c>
      <c r="AB178" t="str">
        <f>AB13</f>
        <v>cACTAL deh (NAD)</v>
      </c>
      <c r="AC178">
        <f>AC13</f>
        <v>51.53</v>
      </c>
      <c r="AD178" s="10">
        <f>AC178/$B$181</f>
        <v>2.1396168764308063</v>
      </c>
      <c r="AE178" t="str">
        <f>AE13</f>
        <v>cACTAL deh (NAD)</v>
      </c>
      <c r="AF178">
        <f>AF13</f>
        <v>44.56</v>
      </c>
      <c r="AG178" s="10">
        <f>AF178/$B$181</f>
        <v>1.8502101302883125</v>
      </c>
      <c r="AH178" t="str">
        <f>AH128</f>
        <v>mACTAL deh (NAD)</v>
      </c>
      <c r="AI178">
        <f>AI128</f>
        <v>47.11</v>
      </c>
      <c r="AJ178" s="10">
        <f>AI178/$B$181</f>
        <v>1.9560906471697126</v>
      </c>
      <c r="AK178" t="str">
        <f>AK128</f>
        <v>mACTAL deh (NAD)</v>
      </c>
      <c r="AL178">
        <f>AL128</f>
        <v>41.75</v>
      </c>
      <c r="AM178" s="10">
        <f>AL178/$B$181</f>
        <v>1.7335339528621418</v>
      </c>
      <c r="AN178" t="str">
        <f>AN13</f>
        <v>cACTAL deh (NAD)</v>
      </c>
      <c r="AO178">
        <f>AO13</f>
        <v>64.84</v>
      </c>
      <c r="AP178" s="10">
        <f>AO178/$B$181</f>
        <v>2.69227165278039</v>
      </c>
      <c r="AQ178" t="str">
        <f>AQ13</f>
        <v>cACTAL deh (NAD)</v>
      </c>
      <c r="AR178">
        <f>AR13</f>
        <v>65.17</v>
      </c>
      <c r="AS178" s="10">
        <f>AR178/$B$181</f>
        <v>2.7059738373179827</v>
      </c>
    </row>
    <row r="179" spans="1:45" x14ac:dyDescent="0.25">
      <c r="A179" t="s">
        <v>355</v>
      </c>
      <c r="B179" s="10">
        <f>Cmol!AG6</f>
        <v>23.654717284928886</v>
      </c>
      <c r="C179" t="s">
        <v>37</v>
      </c>
      <c r="D179" t="str">
        <f>D14</f>
        <v>cACTAL deh (NADP)</v>
      </c>
      <c r="E179">
        <f>E14</f>
        <v>28.15</v>
      </c>
      <c r="F179" s="10">
        <f>E179/$B$179</f>
        <v>1.1900374737488488</v>
      </c>
      <c r="G179" t="str">
        <f>G14</f>
        <v>cACTAL deh (NADP)</v>
      </c>
      <c r="H179">
        <f>H14</f>
        <v>28.15</v>
      </c>
      <c r="I179" s="10">
        <f>H179/$B$179</f>
        <v>1.1900374737488488</v>
      </c>
      <c r="J179" t="str">
        <f>J14</f>
        <v>cACTAL deh (NADP)</v>
      </c>
      <c r="K179">
        <f>K14</f>
        <v>28.15</v>
      </c>
      <c r="L179" s="10">
        <f>K179/$B$179</f>
        <v>1.1900374737488488</v>
      </c>
      <c r="M179" t="str">
        <f>M14</f>
        <v>cACTAL deh (NADP)</v>
      </c>
      <c r="N179">
        <f>N14</f>
        <v>28.15</v>
      </c>
      <c r="O179" s="10">
        <f>N179/$B$179</f>
        <v>1.1900374737488488</v>
      </c>
      <c r="P179" t="str">
        <f>P14</f>
        <v>cACTAL deh (NADP)</v>
      </c>
      <c r="Q179">
        <f>Q14</f>
        <v>32.29</v>
      </c>
      <c r="R179" s="10">
        <f>Q179/$B$180</f>
        <v>1.3592756493761242</v>
      </c>
      <c r="S179" t="str">
        <f>S14</f>
        <v>cACTAL deh (NADP)</v>
      </c>
      <c r="T179">
        <f>T14</f>
        <v>32.29</v>
      </c>
      <c r="U179" s="10">
        <f>T179/$B$180</f>
        <v>1.3592756493761242</v>
      </c>
      <c r="V179" t="str">
        <f>V14</f>
        <v>cACTAL deh (NADP)</v>
      </c>
      <c r="W179">
        <f>W14</f>
        <v>32.29</v>
      </c>
      <c r="X179" s="10">
        <f>W179/$B$180</f>
        <v>1.3592756493761242</v>
      </c>
      <c r="Y179" t="str">
        <f>Y14</f>
        <v>cACTAL deh (NADP)</v>
      </c>
      <c r="Z179">
        <f>Z14</f>
        <v>32.29</v>
      </c>
      <c r="AA179" s="10">
        <f>Z179/$B$180</f>
        <v>1.3592756493761242</v>
      </c>
      <c r="AB179" t="str">
        <f>AB14</f>
        <v>cACTAL deh (NADP)</v>
      </c>
      <c r="AC179">
        <f>AC14</f>
        <v>29.92</v>
      </c>
      <c r="AD179" s="10">
        <f>AC179/$B$181</f>
        <v>1.2423313980750967</v>
      </c>
      <c r="AE179" t="str">
        <f>AE14</f>
        <v>cACTAL deh (NADP)</v>
      </c>
      <c r="AF179">
        <f>AF14</f>
        <v>29.92</v>
      </c>
      <c r="AG179" s="10">
        <f>AF179/$B$181</f>
        <v>1.2423313980750967</v>
      </c>
      <c r="AH179" t="str">
        <f>AH14</f>
        <v>cACTAL deh (NADP)</v>
      </c>
      <c r="AI179">
        <f>AI14</f>
        <v>29.92</v>
      </c>
      <c r="AJ179" s="10">
        <f>AI179/$B$181</f>
        <v>1.2423313980750967</v>
      </c>
      <c r="AK179" t="str">
        <f>AK14</f>
        <v>cACTAL deh (NADP)</v>
      </c>
      <c r="AL179">
        <f>AL14</f>
        <v>29.92</v>
      </c>
      <c r="AM179" s="10">
        <f>AL179/$B$181</f>
        <v>1.2423313980750967</v>
      </c>
      <c r="AN179" t="str">
        <f>AN14</f>
        <v>cACTAL deh (NADP)</v>
      </c>
      <c r="AO179">
        <f>AO14</f>
        <v>29.92</v>
      </c>
      <c r="AP179" s="10">
        <f>AO179/$B$181</f>
        <v>1.2423313980750967</v>
      </c>
      <c r="AQ179" t="str">
        <f>AQ14</f>
        <v>cACTAL deh (NADP)</v>
      </c>
      <c r="AR179">
        <f>AR14</f>
        <v>29.92</v>
      </c>
      <c r="AS179" s="10">
        <f>AR179/$B$181</f>
        <v>1.2423313980750967</v>
      </c>
    </row>
    <row r="180" spans="1:45" x14ac:dyDescent="0.25">
      <c r="A180" t="s">
        <v>354</v>
      </c>
      <c r="B180" s="10">
        <f>Cmol!AE6</f>
        <v>23.755299386714061</v>
      </c>
      <c r="C180" t="s">
        <v>37</v>
      </c>
      <c r="D180" t="str">
        <f>D41</f>
        <v>cETOH deh</v>
      </c>
      <c r="E180">
        <f>-E41</f>
        <v>85.67</v>
      </c>
      <c r="F180" s="10">
        <f>E180/$B$179</f>
        <v>3.6216877575866389</v>
      </c>
      <c r="G180" t="str">
        <f>G131</f>
        <v>mETOH deh</v>
      </c>
      <c r="H180">
        <f>-H131</f>
        <v>85.67</v>
      </c>
      <c r="I180" s="10">
        <f>H180/$B$179</f>
        <v>3.6216877575866389</v>
      </c>
      <c r="J180" t="str">
        <f>J41</f>
        <v>cETOH deh</v>
      </c>
      <c r="K180">
        <f>-K41</f>
        <v>85.67</v>
      </c>
      <c r="L180" s="10">
        <f>K180/$B$179</f>
        <v>3.6216877575866389</v>
      </c>
      <c r="M180" t="str">
        <f>M131</f>
        <v>mETOH deh</v>
      </c>
      <c r="N180">
        <f>-N131</f>
        <v>85.67</v>
      </c>
      <c r="O180" s="10">
        <f>N180/$B$179</f>
        <v>3.6216877575866389</v>
      </c>
      <c r="P180" t="str">
        <f>P41</f>
        <v>cETOH deh</v>
      </c>
      <c r="Q180">
        <f>-Q41</f>
        <v>79.760000000000005</v>
      </c>
      <c r="R180" s="10">
        <f>Q180/$B$180</f>
        <v>3.3575666086788378</v>
      </c>
      <c r="S180" t="str">
        <f>S131</f>
        <v>mETOH deh</v>
      </c>
      <c r="T180">
        <f>-T131</f>
        <v>72.92</v>
      </c>
      <c r="U180" s="10">
        <f>T180/$B$180</f>
        <v>3.0696308563799004</v>
      </c>
      <c r="V180" t="str">
        <f>V41</f>
        <v>cETOH deh</v>
      </c>
      <c r="W180">
        <f>-W41</f>
        <v>75.680000000000007</v>
      </c>
      <c r="X180" s="10">
        <f>W180/$B$180</f>
        <v>3.1858154581847349</v>
      </c>
      <c r="Y180" t="str">
        <f>Y131</f>
        <v>mETOH deh</v>
      </c>
      <c r="Z180">
        <f>-Z131</f>
        <v>70.099999999999994</v>
      </c>
      <c r="AA180" s="10">
        <f>Z180/$B$180</f>
        <v>2.9509205023619169</v>
      </c>
      <c r="AB180" t="str">
        <f>AB41</f>
        <v>cETOH deh</v>
      </c>
      <c r="AC180">
        <f>-AC41</f>
        <v>81.349999999999994</v>
      </c>
      <c r="AD180" s="10">
        <f>AC180/$B$181</f>
        <v>3.3777960973732988</v>
      </c>
      <c r="AE180" t="str">
        <f>AE131</f>
        <v>mETOH deh</v>
      </c>
      <c r="AF180">
        <f>-AF131</f>
        <v>74.38</v>
      </c>
      <c r="AG180" s="10">
        <f>AF180/$B$181</f>
        <v>3.0883893512308047</v>
      </c>
      <c r="AH180" t="str">
        <f>AH41</f>
        <v>cETOH deh</v>
      </c>
      <c r="AI180">
        <f>-AI41</f>
        <v>76.94</v>
      </c>
      <c r="AJ180" s="10">
        <f>AI180/$B$181</f>
        <v>3.1946850858254656</v>
      </c>
      <c r="AK180" t="str">
        <f>AK131</f>
        <v>mETOH deh</v>
      </c>
      <c r="AL180">
        <f>-AL131</f>
        <v>71.569999999999993</v>
      </c>
      <c r="AM180" s="10">
        <f>AL180/$B$181</f>
        <v>2.9717131738046341</v>
      </c>
    </row>
    <row r="181" spans="1:45" x14ac:dyDescent="0.25">
      <c r="A181" t="s">
        <v>387</v>
      </c>
      <c r="B181" s="10">
        <f>Cmol!AF6</f>
        <v>24.083750959171518</v>
      </c>
      <c r="C181" t="s">
        <v>37</v>
      </c>
    </row>
    <row r="182" spans="1:45" x14ac:dyDescent="0.25">
      <c r="A182" t="s">
        <v>382</v>
      </c>
      <c r="B182">
        <v>46</v>
      </c>
      <c r="C182" t="s">
        <v>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8C1FE-9BA6-4B8A-8E66-8CF9EE8D565B}">
  <sheetPr>
    <tabColor rgb="FFFFEBFF"/>
  </sheetPr>
  <dimension ref="A1:S21"/>
  <sheetViews>
    <sheetView tabSelected="1" workbookViewId="0">
      <selection activeCell="B19" sqref="B19"/>
    </sheetView>
  </sheetViews>
  <sheetFormatPr defaultRowHeight="15" x14ac:dyDescent="0.25"/>
  <cols>
    <col min="2" max="2" width="19.140625" bestFit="1" customWidth="1"/>
    <col min="3" max="3" width="11.85546875" bestFit="1" customWidth="1"/>
    <col min="11" max="11" width="10.28515625" bestFit="1" customWidth="1"/>
    <col min="12" max="12" width="10.42578125" bestFit="1" customWidth="1"/>
    <col min="13" max="13" width="8.28515625" bestFit="1" customWidth="1"/>
    <col min="14" max="14" width="8.5703125" bestFit="1" customWidth="1"/>
    <col min="15" max="18" width="9" bestFit="1" customWidth="1"/>
    <col min="19" max="19" width="14.85546875" bestFit="1" customWidth="1"/>
    <col min="20" max="20" width="9" bestFit="1" customWidth="1"/>
  </cols>
  <sheetData>
    <row r="1" spans="1:19" x14ac:dyDescent="0.25">
      <c r="A1" t="s">
        <v>443</v>
      </c>
    </row>
    <row r="3" spans="1:19" x14ac:dyDescent="0.25">
      <c r="A3" s="21" t="s">
        <v>384</v>
      </c>
      <c r="B3" s="21" t="s">
        <v>424</v>
      </c>
      <c r="C3" s="21" t="s">
        <v>150</v>
      </c>
      <c r="D3" s="21" t="s">
        <v>427</v>
      </c>
      <c r="E3" s="21" t="s">
        <v>428</v>
      </c>
      <c r="F3" s="21" t="s">
        <v>349</v>
      </c>
      <c r="G3" s="21" t="s">
        <v>380</v>
      </c>
      <c r="H3" s="21" t="s">
        <v>381</v>
      </c>
      <c r="I3" s="21"/>
      <c r="J3" s="21"/>
      <c r="K3" s="21" t="s">
        <v>431</v>
      </c>
      <c r="L3" s="21" t="s">
        <v>432</v>
      </c>
      <c r="M3" s="21" t="s">
        <v>433</v>
      </c>
      <c r="N3" s="21" t="s">
        <v>427</v>
      </c>
    </row>
    <row r="4" spans="1:19" x14ac:dyDescent="0.25">
      <c r="A4" s="21" t="s">
        <v>415</v>
      </c>
      <c r="B4" s="22" t="s">
        <v>355</v>
      </c>
      <c r="C4" s="21" t="s">
        <v>425</v>
      </c>
      <c r="D4" s="21" t="s">
        <v>429</v>
      </c>
      <c r="E4" s="21" t="s">
        <v>429</v>
      </c>
      <c r="F4" s="23">
        <f>Results!E174</f>
        <v>0.60024861031279997</v>
      </c>
      <c r="G4" s="23">
        <f>Results!E175</f>
        <v>14.523679796726766</v>
      </c>
      <c r="H4" s="23">
        <f>Results!E176</f>
        <v>0.50868791060354879</v>
      </c>
      <c r="I4" s="21"/>
      <c r="J4" s="21"/>
      <c r="K4" s="28">
        <f>Results!F178</f>
        <v>2.4333412784718913</v>
      </c>
      <c r="L4" s="28">
        <f>Results!F179</f>
        <v>1.1900374737488488</v>
      </c>
      <c r="M4" s="28">
        <f>K4+L4</f>
        <v>3.6233787522207401</v>
      </c>
      <c r="N4" s="28">
        <f>Results!F180</f>
        <v>3.6216877575866389</v>
      </c>
      <c r="O4" s="26">
        <f>L4/M4</f>
        <v>0.3284330883210827</v>
      </c>
    </row>
    <row r="5" spans="1:19" x14ac:dyDescent="0.25">
      <c r="A5" s="21" t="s">
        <v>416</v>
      </c>
      <c r="B5" s="22" t="s">
        <v>355</v>
      </c>
      <c r="C5" s="21" t="str">
        <f>$C$4</f>
        <v>Ndi</v>
      </c>
      <c r="D5" s="21" t="s">
        <v>430</v>
      </c>
      <c r="E5" s="21" t="s">
        <v>429</v>
      </c>
      <c r="F5" s="23">
        <f>Results!H174</f>
        <v>0.60024861031279997</v>
      </c>
      <c r="G5" s="23">
        <f>Results!H175</f>
        <v>14.523679796726766</v>
      </c>
      <c r="H5" s="23">
        <f>Results!E176</f>
        <v>0.50868791060354879</v>
      </c>
      <c r="I5" s="21"/>
      <c r="J5" s="21"/>
      <c r="K5" s="28">
        <f>Results!I178</f>
        <v>2.4333412784718913</v>
      </c>
      <c r="L5" s="28">
        <f>Results!I179</f>
        <v>1.1900374737488488</v>
      </c>
      <c r="M5" s="28">
        <f t="shared" ref="M5:M15" si="0">K5+L5</f>
        <v>3.6233787522207401</v>
      </c>
      <c r="N5" s="28">
        <f>Results!I180</f>
        <v>3.6216877575866389</v>
      </c>
      <c r="O5" s="26">
        <f t="shared" ref="O5:O15" si="1">L5/M5</f>
        <v>0.3284330883210827</v>
      </c>
    </row>
    <row r="6" spans="1:19" x14ac:dyDescent="0.25">
      <c r="A6" s="21" t="s">
        <v>0</v>
      </c>
      <c r="B6" s="22" t="s">
        <v>355</v>
      </c>
      <c r="C6" s="21" t="str">
        <f t="shared" ref="C6:C7" si="2">$C$4</f>
        <v>Ndi</v>
      </c>
      <c r="D6" s="21" t="s">
        <v>429</v>
      </c>
      <c r="E6" s="21" t="s">
        <v>430</v>
      </c>
      <c r="F6" s="23">
        <f>Results!K174</f>
        <v>0.60024861031279997</v>
      </c>
      <c r="G6" s="23">
        <f>Results!K175</f>
        <v>14.523679796726766</v>
      </c>
      <c r="H6" s="23">
        <f>Results!K176</f>
        <v>0.50868791060354879</v>
      </c>
      <c r="I6" s="21"/>
      <c r="J6" s="21"/>
      <c r="K6" s="28">
        <f>Results!L178</f>
        <v>2.4333412784718913</v>
      </c>
      <c r="L6" s="28">
        <f>Results!L179</f>
        <v>1.1900374737488488</v>
      </c>
      <c r="M6" s="28">
        <f t="shared" si="0"/>
        <v>3.6233787522207401</v>
      </c>
      <c r="N6" s="28">
        <f>Results!L180</f>
        <v>3.6216877575866389</v>
      </c>
      <c r="O6" s="26">
        <f t="shared" si="1"/>
        <v>0.3284330883210827</v>
      </c>
      <c r="S6" s="25"/>
    </row>
    <row r="7" spans="1:19" x14ac:dyDescent="0.25">
      <c r="A7" s="21" t="s">
        <v>27</v>
      </c>
      <c r="B7" s="22" t="s">
        <v>355</v>
      </c>
      <c r="C7" s="21" t="str">
        <f t="shared" si="2"/>
        <v>Ndi</v>
      </c>
      <c r="D7" s="21" t="s">
        <v>430</v>
      </c>
      <c r="E7" s="21" t="s">
        <v>430</v>
      </c>
      <c r="F7" s="23">
        <f>Results!N174</f>
        <v>0.60024861031279997</v>
      </c>
      <c r="G7" s="23">
        <f>Results!N175</f>
        <v>14.523679796726766</v>
      </c>
      <c r="H7" s="23">
        <f>Results!N176</f>
        <v>0.50868791060354879</v>
      </c>
      <c r="I7" s="21"/>
      <c r="J7" s="21"/>
      <c r="K7" s="28">
        <f>Results!O178</f>
        <v>2.4333412784718913</v>
      </c>
      <c r="L7" s="28">
        <f>Results!O179</f>
        <v>1.1900374737488488</v>
      </c>
      <c r="M7" s="28">
        <f t="shared" si="0"/>
        <v>3.6233787522207401</v>
      </c>
      <c r="N7" s="28">
        <f>Results!O180</f>
        <v>3.6216877575866389</v>
      </c>
      <c r="O7" s="26">
        <f t="shared" si="1"/>
        <v>0.3284330883210827</v>
      </c>
      <c r="S7" s="25"/>
    </row>
    <row r="8" spans="1:19" x14ac:dyDescent="0.25">
      <c r="A8" s="21" t="s">
        <v>417</v>
      </c>
      <c r="B8" s="22" t="s">
        <v>354</v>
      </c>
      <c r="C8" s="21" t="s">
        <v>426</v>
      </c>
      <c r="D8" s="21" t="s">
        <v>429</v>
      </c>
      <c r="E8" s="21" t="s">
        <v>429</v>
      </c>
      <c r="F8" s="23">
        <f>Results!Q174</f>
        <v>0.6474668403774928</v>
      </c>
      <c r="G8" s="23">
        <f>Results!Q175</f>
        <v>17.498010744485903</v>
      </c>
      <c r="H8" s="23">
        <f>Results!Q176</f>
        <v>0.44490276959340014</v>
      </c>
      <c r="I8" s="21"/>
      <c r="J8" s="31"/>
      <c r="K8" s="29">
        <f>Results!R178</f>
        <v>2.0050262985377763</v>
      </c>
      <c r="L8" s="29">
        <f>Results!R179</f>
        <v>1.3592756493761242</v>
      </c>
      <c r="M8" s="29">
        <f t="shared" si="0"/>
        <v>3.3643019479139005</v>
      </c>
      <c r="N8" s="29">
        <f>Results!R180</f>
        <v>3.3575666086788378</v>
      </c>
      <c r="O8" s="26">
        <f t="shared" si="1"/>
        <v>0.40402902902902904</v>
      </c>
      <c r="S8" s="25"/>
    </row>
    <row r="9" spans="1:19" x14ac:dyDescent="0.25">
      <c r="A9" s="21" t="s">
        <v>418</v>
      </c>
      <c r="B9" s="22" t="s">
        <v>354</v>
      </c>
      <c r="C9" s="21" t="str">
        <f>$C$8</f>
        <v>Ndi + CI</v>
      </c>
      <c r="D9" s="21" t="s">
        <v>430</v>
      </c>
      <c r="E9" s="21" t="s">
        <v>429</v>
      </c>
      <c r="F9" s="23">
        <f>Results!T174</f>
        <v>0.70820015343539255</v>
      </c>
      <c r="G9" s="23">
        <f>Results!T175</f>
        <v>20.61197343749593</v>
      </c>
      <c r="H9" s="23">
        <f>Results!T176</f>
        <v>0.40546637744034703</v>
      </c>
      <c r="I9" s="24">
        <f>F9-F8</f>
        <v>6.0733313057899752E-2</v>
      </c>
      <c r="J9" s="30">
        <f>I9/$F$8</f>
        <v>9.3801426220515613E-2</v>
      </c>
      <c r="K9" s="29">
        <f>Results!U178</f>
        <v>1.7170905462388388</v>
      </c>
      <c r="L9" s="29">
        <f>Results!U179</f>
        <v>1.3592756493761242</v>
      </c>
      <c r="M9" s="29">
        <f t="shared" si="0"/>
        <v>3.0763661956149631</v>
      </c>
      <c r="N9" s="29">
        <f>Results!U180</f>
        <v>3.0696308563799004</v>
      </c>
      <c r="O9" s="26">
        <f t="shared" si="1"/>
        <v>0.44184455391351946</v>
      </c>
    </row>
    <row r="10" spans="1:19" x14ac:dyDescent="0.25">
      <c r="A10" s="21" t="s">
        <v>419</v>
      </c>
      <c r="B10" s="22" t="s">
        <v>354</v>
      </c>
      <c r="C10" s="21" t="s">
        <v>426</v>
      </c>
      <c r="D10" s="21" t="s">
        <v>429</v>
      </c>
      <c r="E10" s="21" t="s">
        <v>430</v>
      </c>
      <c r="F10" s="23">
        <f>Results!W174</f>
        <v>0.6823725579876958</v>
      </c>
      <c r="G10" s="23">
        <f>Results!W175</f>
        <v>19.233502863504217</v>
      </c>
      <c r="H10" s="23">
        <f>Results!W176</f>
        <v>0.42296170350578899</v>
      </c>
      <c r="I10" s="24">
        <f>F10-F8</f>
        <v>3.4905717610203002E-2</v>
      </c>
      <c r="J10" s="30">
        <f t="shared" ref="J10:J11" si="3">I10/$F$8</f>
        <v>5.3911205073995619E-2</v>
      </c>
      <c r="K10" s="29">
        <f>Results!X178</f>
        <v>1.8332751480436731</v>
      </c>
      <c r="L10" s="29">
        <f>Results!X179</f>
        <v>1.3592756493761242</v>
      </c>
      <c r="M10" s="29">
        <f t="shared" si="0"/>
        <v>3.1925507974197975</v>
      </c>
      <c r="N10" s="29">
        <f>Results!X180</f>
        <v>3.1858154581847349</v>
      </c>
      <c r="O10" s="26">
        <f t="shared" si="1"/>
        <v>0.42576476793248946</v>
      </c>
    </row>
    <row r="11" spans="1:19" x14ac:dyDescent="0.25">
      <c r="A11" s="21" t="s">
        <v>1</v>
      </c>
      <c r="B11" s="22" t="s">
        <v>354</v>
      </c>
      <c r="C11" s="21" t="str">
        <f t="shared" ref="C11" si="4">$C$8</f>
        <v>Ndi + CI</v>
      </c>
      <c r="D11" s="21" t="s">
        <v>430</v>
      </c>
      <c r="E11" s="21" t="s">
        <v>430</v>
      </c>
      <c r="F11" s="23">
        <f>Results!Z174</f>
        <v>0.7366898029744483</v>
      </c>
      <c r="G11" s="23">
        <f>Results!Z175</f>
        <v>22.244872541168704</v>
      </c>
      <c r="H11" s="23">
        <f>Results!Z176</f>
        <v>0.38477385522989044</v>
      </c>
      <c r="I11" s="24">
        <f>F11-F8</f>
        <v>8.9222962596955502E-2</v>
      </c>
      <c r="J11" s="30">
        <f t="shared" si="3"/>
        <v>0.1378031383737518</v>
      </c>
      <c r="K11" s="29">
        <f>Results!AA178</f>
        <v>1.5983801922208558</v>
      </c>
      <c r="L11" s="29">
        <f>Results!AA179</f>
        <v>1.3592756493761242</v>
      </c>
      <c r="M11" s="29">
        <f t="shared" si="0"/>
        <v>2.95765584159698</v>
      </c>
      <c r="N11" s="29">
        <f>Results!AA180</f>
        <v>2.9509205023619169</v>
      </c>
      <c r="O11" s="26">
        <f t="shared" si="1"/>
        <v>0.45957870765727299</v>
      </c>
    </row>
    <row r="12" spans="1:19" x14ac:dyDescent="0.25">
      <c r="A12" s="21" t="s">
        <v>420</v>
      </c>
      <c r="B12" s="22" t="s">
        <v>387</v>
      </c>
      <c r="C12" s="21" t="s">
        <v>426</v>
      </c>
      <c r="D12" s="21" t="s">
        <v>429</v>
      </c>
      <c r="E12" s="21" t="s">
        <v>429</v>
      </c>
      <c r="F12" s="23">
        <f>Results!AC174</f>
        <v>0.64358918679809507</v>
      </c>
      <c r="G12" s="23">
        <f>Results!AC175</f>
        <v>17.638604774550693</v>
      </c>
      <c r="H12" s="23">
        <f>Results!AC176</f>
        <v>0.43708803281089792</v>
      </c>
      <c r="I12" s="24"/>
      <c r="J12" s="24"/>
      <c r="K12" s="29">
        <f>Results!AD178</f>
        <v>2.1396168764308063</v>
      </c>
      <c r="L12" s="29">
        <f>Results!AD179</f>
        <v>1.2423313980750967</v>
      </c>
      <c r="M12" s="29">
        <f t="shared" si="0"/>
        <v>3.3819482745059029</v>
      </c>
      <c r="N12" s="29">
        <f>Results!AD180</f>
        <v>3.3777960973732988</v>
      </c>
      <c r="O12" s="26">
        <f t="shared" si="1"/>
        <v>0.36734192756292211</v>
      </c>
    </row>
    <row r="13" spans="1:19" x14ac:dyDescent="0.25">
      <c r="A13" s="21" t="s">
        <v>421</v>
      </c>
      <c r="B13" s="22" t="s">
        <v>387</v>
      </c>
      <c r="C13" s="21" t="str">
        <f t="shared" ref="C13" si="5">$C$8</f>
        <v>Ndi + CI</v>
      </c>
      <c r="D13" s="21" t="s">
        <v>430</v>
      </c>
      <c r="E13" s="21" t="s">
        <v>429</v>
      </c>
      <c r="F13" s="23">
        <f>Results!AF174</f>
        <v>0.70389863331574409</v>
      </c>
      <c r="G13" s="23">
        <f>Results!AF175</f>
        <v>20.830090779425287</v>
      </c>
      <c r="H13" s="23">
        <f>Results!AF176</f>
        <v>0.39560629648849682</v>
      </c>
      <c r="I13" s="24">
        <f>F13-F12</f>
        <v>6.0309446517649024E-2</v>
      </c>
      <c r="J13" s="30">
        <f>I13/$F$11</f>
        <v>8.1865455818913815E-2</v>
      </c>
      <c r="K13" s="29">
        <f>Results!AG178</f>
        <v>1.8502101302883125</v>
      </c>
      <c r="L13" s="29">
        <f>Results!AG179</f>
        <v>1.2423313980750967</v>
      </c>
      <c r="M13" s="29">
        <f t="shared" si="0"/>
        <v>3.0925415283634092</v>
      </c>
      <c r="N13" s="29">
        <f>Results!AG180</f>
        <v>3.0883893512308047</v>
      </c>
      <c r="O13" s="26">
        <f t="shared" si="1"/>
        <v>0.40171858216971001</v>
      </c>
    </row>
    <row r="14" spans="1:19" x14ac:dyDescent="0.25">
      <c r="A14" s="21" t="s">
        <v>422</v>
      </c>
      <c r="B14" s="22" t="s">
        <v>387</v>
      </c>
      <c r="C14" s="21" t="s">
        <v>426</v>
      </c>
      <c r="D14" s="21" t="s">
        <v>429</v>
      </c>
      <c r="E14" s="21" t="s">
        <v>430</v>
      </c>
      <c r="F14" s="23">
        <f>Results!AI174</f>
        <v>0.68047803932967299</v>
      </c>
      <c r="G14" s="23">
        <f>Results!AI175</f>
        <v>19.534229020335399</v>
      </c>
      <c r="H14" s="23">
        <f>Results!AI176</f>
        <v>0.41244220942493309</v>
      </c>
      <c r="I14" s="24">
        <f>F14-F12</f>
        <v>3.688885253157792E-2</v>
      </c>
      <c r="J14" s="30">
        <f t="shared" ref="J14:J15" si="6">I14/$F$11</f>
        <v>5.0073792772257757E-2</v>
      </c>
      <c r="K14" s="29">
        <f>Results!AJ178</f>
        <v>1.9560906471697126</v>
      </c>
      <c r="L14" s="29">
        <f>Results!AJ179</f>
        <v>1.2423313980750967</v>
      </c>
      <c r="M14" s="29">
        <f t="shared" si="0"/>
        <v>3.1984220452448096</v>
      </c>
      <c r="N14" s="29">
        <f>Results!AJ180</f>
        <v>3.1946850858254656</v>
      </c>
      <c r="O14" s="26">
        <f t="shared" si="1"/>
        <v>0.3884200960664676</v>
      </c>
    </row>
    <row r="15" spans="1:19" x14ac:dyDescent="0.25">
      <c r="A15" s="21" t="s">
        <v>28</v>
      </c>
      <c r="B15" s="22" t="s">
        <v>387</v>
      </c>
      <c r="C15" s="21" t="str">
        <f t="shared" ref="C15:C16" si="7">$C$8</f>
        <v>Ndi + CI</v>
      </c>
      <c r="D15" s="21" t="s">
        <v>430</v>
      </c>
      <c r="E15" s="21" t="s">
        <v>430</v>
      </c>
      <c r="F15" s="23">
        <f>Results!AL174</f>
        <v>0.73153528498008991</v>
      </c>
      <c r="G15" s="23">
        <f>Results!AL175</f>
        <v>22.468281518025485</v>
      </c>
      <c r="H15" s="23">
        <f>Results!AL176</f>
        <v>0.37428864632894859</v>
      </c>
      <c r="I15" s="24">
        <f>F15-F12</f>
        <v>8.7946098181994836E-2</v>
      </c>
      <c r="J15" s="30">
        <f t="shared" si="6"/>
        <v>0.11938009434487204</v>
      </c>
      <c r="K15" s="29">
        <f>Results!AM178</f>
        <v>1.7335339528621418</v>
      </c>
      <c r="L15" s="29">
        <f>Results!AM179</f>
        <v>1.2423313980750967</v>
      </c>
      <c r="M15" s="29">
        <f t="shared" si="0"/>
        <v>2.9758653509372386</v>
      </c>
      <c r="N15" s="29">
        <f>Results!AM180</f>
        <v>2.9717131738046341</v>
      </c>
      <c r="O15" s="26">
        <f t="shared" si="1"/>
        <v>0.41746895493232877</v>
      </c>
      <c r="P15">
        <f>COUNT(O4:O15)</f>
        <v>12</v>
      </c>
    </row>
    <row r="16" spans="1:19" x14ac:dyDescent="0.25">
      <c r="A16" s="21" t="s">
        <v>423</v>
      </c>
      <c r="B16" s="22" t="s">
        <v>387</v>
      </c>
      <c r="C16" s="21" t="str">
        <f t="shared" si="7"/>
        <v>Ndi + CI</v>
      </c>
      <c r="D16" s="21" t="s">
        <v>439</v>
      </c>
      <c r="E16" s="21" t="s">
        <v>429</v>
      </c>
      <c r="F16" s="23">
        <f>Results!AO174</f>
        <v>0.55303665729402174</v>
      </c>
      <c r="G16" s="23">
        <f>Results!AO175</f>
        <v>10.760802001327695</v>
      </c>
      <c r="H16" s="23">
        <f>Results!AO176</f>
        <v>0.38563960502211697</v>
      </c>
      <c r="I16" s="24">
        <f>F12-F16</f>
        <v>9.0552529504073331E-2</v>
      </c>
      <c r="J16" s="27">
        <f>I16/F12</f>
        <v>0.14069927115242414</v>
      </c>
      <c r="P16" s="32">
        <f>AVERAGE(O4:O15)</f>
        <v>0.38499158104567255</v>
      </c>
      <c r="Q16" s="26">
        <f>_xlfn.STDEV.S(O4:O15)</f>
        <v>4.7933350447459805E-2</v>
      </c>
    </row>
    <row r="17" spans="1:13" x14ac:dyDescent="0.25">
      <c r="A17" s="21" t="s">
        <v>2</v>
      </c>
      <c r="B17" s="22" t="s">
        <v>387</v>
      </c>
      <c r="C17" s="21" t="s">
        <v>425</v>
      </c>
      <c r="D17" s="21" t="s">
        <v>429</v>
      </c>
      <c r="E17" s="21" t="s">
        <v>429</v>
      </c>
      <c r="F17" s="23">
        <f>Results!AR174</f>
        <v>0.5511736008635123</v>
      </c>
      <c r="G17" s="23">
        <f>Results!AR175</f>
        <v>13.571368736149845</v>
      </c>
      <c r="H17" s="23">
        <f>Results!AR176</f>
        <v>0.49002592133438516</v>
      </c>
      <c r="I17" s="24">
        <f>F12-F17</f>
        <v>9.2415585934582767E-2</v>
      </c>
      <c r="J17" s="27">
        <f>I17/F12</f>
        <v>0.14359406253289819</v>
      </c>
    </row>
    <row r="19" spans="1:13" x14ac:dyDescent="0.25">
      <c r="I19" s="17"/>
    </row>
    <row r="20" spans="1:13" x14ac:dyDescent="0.25">
      <c r="I20" s="17"/>
      <c r="J20" s="17"/>
    </row>
    <row r="21" spans="1:13" x14ac:dyDescent="0.25">
      <c r="M21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4C870-7530-4C86-9075-02EF57A4CAB7}">
  <dimension ref="A1:C170"/>
  <sheetViews>
    <sheetView workbookViewId="0">
      <selection activeCell="G32" sqref="G32"/>
    </sheetView>
  </sheetViews>
  <sheetFormatPr defaultRowHeight="15" x14ac:dyDescent="0.25"/>
  <cols>
    <col min="1" max="1" width="18.5703125" bestFit="1" customWidth="1"/>
  </cols>
  <sheetData>
    <row r="1" spans="1:3" x14ac:dyDescent="0.25">
      <c r="A1" t="s">
        <v>5</v>
      </c>
      <c r="B1" t="s">
        <v>352</v>
      </c>
      <c r="C1" t="s">
        <v>353</v>
      </c>
    </row>
    <row r="2" spans="1:3" x14ac:dyDescent="0.25">
      <c r="A2" t="s">
        <v>39</v>
      </c>
      <c r="B2">
        <v>-1000</v>
      </c>
      <c r="C2">
        <v>1000</v>
      </c>
    </row>
    <row r="3" spans="1:3" x14ac:dyDescent="0.25">
      <c r="A3" t="s">
        <v>359</v>
      </c>
      <c r="B3">
        <v>0</v>
      </c>
      <c r="C3">
        <v>0</v>
      </c>
    </row>
    <row r="4" spans="1:3" x14ac:dyDescent="0.25">
      <c r="A4" t="s">
        <v>386</v>
      </c>
      <c r="B4">
        <v>0</v>
      </c>
      <c r="C4">
        <v>0</v>
      </c>
    </row>
    <row r="5" spans="1:3" x14ac:dyDescent="0.25">
      <c r="A5" t="s">
        <v>358</v>
      </c>
      <c r="B5">
        <v>-1000</v>
      </c>
      <c r="C5">
        <v>1000</v>
      </c>
    </row>
    <row r="6" spans="1:3" x14ac:dyDescent="0.25">
      <c r="A6" t="s">
        <v>40</v>
      </c>
      <c r="B6">
        <v>-1000</v>
      </c>
      <c r="C6">
        <v>1000</v>
      </c>
    </row>
    <row r="7" spans="1:3" x14ac:dyDescent="0.25">
      <c r="A7" t="s">
        <v>41</v>
      </c>
      <c r="B7">
        <v>-1000</v>
      </c>
      <c r="C7">
        <v>1000</v>
      </c>
    </row>
    <row r="8" spans="1:3" x14ac:dyDescent="0.25">
      <c r="A8" t="s">
        <v>42</v>
      </c>
      <c r="B8">
        <v>-1000</v>
      </c>
      <c r="C8">
        <v>1000</v>
      </c>
    </row>
    <row r="9" spans="1:3" x14ac:dyDescent="0.25">
      <c r="A9" t="s">
        <v>43</v>
      </c>
      <c r="B9">
        <v>-1000</v>
      </c>
      <c r="C9">
        <v>1000</v>
      </c>
    </row>
    <row r="10" spans="1:3" x14ac:dyDescent="0.25">
      <c r="A10" t="s">
        <v>44</v>
      </c>
      <c r="B10">
        <v>-1000</v>
      </c>
      <c r="C10">
        <v>1000</v>
      </c>
    </row>
    <row r="11" spans="1:3" x14ac:dyDescent="0.25">
      <c r="A11" t="s">
        <v>45</v>
      </c>
      <c r="B11">
        <v>0</v>
      </c>
      <c r="C11">
        <v>1000</v>
      </c>
    </row>
    <row r="12" spans="1:3" x14ac:dyDescent="0.25">
      <c r="A12" t="s">
        <v>324</v>
      </c>
      <c r="B12">
        <v>0</v>
      </c>
      <c r="C12">
        <v>1000</v>
      </c>
    </row>
    <row r="13" spans="1:3" x14ac:dyDescent="0.25">
      <c r="A13" t="s">
        <v>371</v>
      </c>
      <c r="B13">
        <v>-1000</v>
      </c>
      <c r="C13">
        <v>1000</v>
      </c>
    </row>
    <row r="14" spans="1:3" x14ac:dyDescent="0.25">
      <c r="A14" t="s">
        <v>371</v>
      </c>
      <c r="B14">
        <v>-1000</v>
      </c>
      <c r="C14">
        <v>1000</v>
      </c>
    </row>
    <row r="15" spans="1:3" x14ac:dyDescent="0.25">
      <c r="A15" t="s">
        <v>46</v>
      </c>
      <c r="B15">
        <v>-1000</v>
      </c>
      <c r="C15">
        <v>1000</v>
      </c>
    </row>
    <row r="16" spans="1:3" x14ac:dyDescent="0.25">
      <c r="A16" t="s">
        <v>47</v>
      </c>
      <c r="B16">
        <v>-1000</v>
      </c>
      <c r="C16">
        <v>1000</v>
      </c>
    </row>
    <row r="17" spans="1:3" x14ac:dyDescent="0.25">
      <c r="A17" t="s">
        <v>48</v>
      </c>
      <c r="B17">
        <v>-1000</v>
      </c>
      <c r="C17">
        <v>1000</v>
      </c>
    </row>
    <row r="18" spans="1:3" x14ac:dyDescent="0.25">
      <c r="A18" t="s">
        <v>49</v>
      </c>
      <c r="B18">
        <v>-1000</v>
      </c>
      <c r="C18">
        <v>1000</v>
      </c>
    </row>
    <row r="19" spans="1:3" x14ac:dyDescent="0.25">
      <c r="A19" t="s">
        <v>50</v>
      </c>
      <c r="B19">
        <v>-1000</v>
      </c>
      <c r="C19">
        <v>1000</v>
      </c>
    </row>
    <row r="20" spans="1:3" x14ac:dyDescent="0.25">
      <c r="A20" t="s">
        <v>51</v>
      </c>
      <c r="B20">
        <v>-1000</v>
      </c>
      <c r="C20">
        <v>1000</v>
      </c>
    </row>
    <row r="21" spans="1:3" x14ac:dyDescent="0.25">
      <c r="A21" t="s">
        <v>52</v>
      </c>
      <c r="B21">
        <v>-1000</v>
      </c>
      <c r="C21">
        <v>1000</v>
      </c>
    </row>
    <row r="22" spans="1:3" x14ac:dyDescent="0.25">
      <c r="A22" t="s">
        <v>53</v>
      </c>
      <c r="B22">
        <v>-1000</v>
      </c>
      <c r="C22">
        <v>1000</v>
      </c>
    </row>
    <row r="23" spans="1:3" x14ac:dyDescent="0.25">
      <c r="A23" t="s">
        <v>54</v>
      </c>
      <c r="B23">
        <v>-1000</v>
      </c>
      <c r="C23">
        <v>1000</v>
      </c>
    </row>
    <row r="24" spans="1:3" x14ac:dyDescent="0.25">
      <c r="A24" t="s">
        <v>55</v>
      </c>
      <c r="B24">
        <v>-1000</v>
      </c>
      <c r="C24">
        <v>1000</v>
      </c>
    </row>
    <row r="25" spans="1:3" x14ac:dyDescent="0.25">
      <c r="A25" t="s">
        <v>56</v>
      </c>
      <c r="B25">
        <v>-1000</v>
      </c>
      <c r="C25">
        <v>1000</v>
      </c>
    </row>
    <row r="26" spans="1:3" x14ac:dyDescent="0.25">
      <c r="A26" t="s">
        <v>57</v>
      </c>
      <c r="B26">
        <v>-1000</v>
      </c>
      <c r="C26">
        <v>1000</v>
      </c>
    </row>
    <row r="27" spans="1:3" x14ac:dyDescent="0.25">
      <c r="A27" t="s">
        <v>58</v>
      </c>
      <c r="B27">
        <v>-1000</v>
      </c>
      <c r="C27">
        <v>1000</v>
      </c>
    </row>
    <row r="28" spans="1:3" x14ac:dyDescent="0.25">
      <c r="A28" t="s">
        <v>59</v>
      </c>
      <c r="B28">
        <v>-1000</v>
      </c>
      <c r="C28">
        <v>1000</v>
      </c>
    </row>
    <row r="29" spans="1:3" x14ac:dyDescent="0.25">
      <c r="A29" t="s">
        <v>325</v>
      </c>
      <c r="B29">
        <v>-1000</v>
      </c>
      <c r="C29">
        <v>1000</v>
      </c>
    </row>
    <row r="30" spans="1:3" x14ac:dyDescent="0.25">
      <c r="A30" t="s">
        <v>60</v>
      </c>
      <c r="B30">
        <v>-1000</v>
      </c>
      <c r="C30">
        <v>1000</v>
      </c>
    </row>
    <row r="31" spans="1:3" x14ac:dyDescent="0.25">
      <c r="A31" t="s">
        <v>61</v>
      </c>
      <c r="B31">
        <v>-1000</v>
      </c>
      <c r="C31">
        <v>1000</v>
      </c>
    </row>
    <row r="32" spans="1:3" x14ac:dyDescent="0.25">
      <c r="A32" t="s">
        <v>62</v>
      </c>
      <c r="B32">
        <v>-1000</v>
      </c>
      <c r="C32">
        <v>1000</v>
      </c>
    </row>
    <row r="33" spans="1:3" x14ac:dyDescent="0.25">
      <c r="A33" t="s">
        <v>63</v>
      </c>
      <c r="B33">
        <v>-1000</v>
      </c>
      <c r="C33">
        <v>1000</v>
      </c>
    </row>
    <row r="34" spans="1:3" x14ac:dyDescent="0.25">
      <c r="A34" t="s">
        <v>64</v>
      </c>
      <c r="B34">
        <v>-1000</v>
      </c>
      <c r="C34">
        <v>1000</v>
      </c>
    </row>
    <row r="35" spans="1:3" x14ac:dyDescent="0.25">
      <c r="A35" t="s">
        <v>65</v>
      </c>
      <c r="B35">
        <v>-1000</v>
      </c>
      <c r="C35">
        <v>1000</v>
      </c>
    </row>
    <row r="36" spans="1:3" x14ac:dyDescent="0.25">
      <c r="A36" t="s">
        <v>66</v>
      </c>
      <c r="B36">
        <v>-1000</v>
      </c>
      <c r="C36">
        <v>1000</v>
      </c>
    </row>
    <row r="37" spans="1:3" x14ac:dyDescent="0.25">
      <c r="A37" t="s">
        <v>442</v>
      </c>
      <c r="B37">
        <v>-1000</v>
      </c>
      <c r="C37">
        <v>1000</v>
      </c>
    </row>
    <row r="38" spans="1:3" x14ac:dyDescent="0.25">
      <c r="A38" t="s">
        <v>438</v>
      </c>
      <c r="B38">
        <v>0</v>
      </c>
      <c r="C38">
        <v>0</v>
      </c>
    </row>
    <row r="39" spans="1:3" x14ac:dyDescent="0.25">
      <c r="A39" t="s">
        <v>326</v>
      </c>
      <c r="B39">
        <v>-1000</v>
      </c>
      <c r="C39">
        <v>1000</v>
      </c>
    </row>
    <row r="40" spans="1:3" x14ac:dyDescent="0.25">
      <c r="A40" t="s">
        <v>369</v>
      </c>
      <c r="B40">
        <v>-1000</v>
      </c>
      <c r="C40">
        <v>1000</v>
      </c>
    </row>
    <row r="41" spans="1:3" x14ac:dyDescent="0.25">
      <c r="A41" t="s">
        <v>67</v>
      </c>
      <c r="B41">
        <v>-1000</v>
      </c>
      <c r="C41">
        <v>1000</v>
      </c>
    </row>
    <row r="42" spans="1:3" x14ac:dyDescent="0.25">
      <c r="A42" t="s">
        <v>327</v>
      </c>
      <c r="B42">
        <v>-1000</v>
      </c>
      <c r="C42">
        <v>1000</v>
      </c>
    </row>
    <row r="43" spans="1:3" x14ac:dyDescent="0.25">
      <c r="A43" t="s">
        <v>68</v>
      </c>
      <c r="B43">
        <v>-1000</v>
      </c>
      <c r="C43">
        <v>1000</v>
      </c>
    </row>
    <row r="44" spans="1:3" x14ac:dyDescent="0.25">
      <c r="A44" t="s">
        <v>69</v>
      </c>
      <c r="B44">
        <v>-1000</v>
      </c>
      <c r="C44">
        <v>1000</v>
      </c>
    </row>
    <row r="45" spans="1:3" x14ac:dyDescent="0.25">
      <c r="A45" t="s">
        <v>70</v>
      </c>
      <c r="B45">
        <v>0</v>
      </c>
      <c r="C45">
        <v>0</v>
      </c>
    </row>
    <row r="46" spans="1:3" x14ac:dyDescent="0.25">
      <c r="A46" t="s">
        <v>71</v>
      </c>
      <c r="B46">
        <v>-1000</v>
      </c>
      <c r="C46">
        <v>1000</v>
      </c>
    </row>
    <row r="47" spans="1:3" x14ac:dyDescent="0.25">
      <c r="A47" t="s">
        <v>72</v>
      </c>
      <c r="B47">
        <v>-1000</v>
      </c>
      <c r="C47">
        <v>1000</v>
      </c>
    </row>
    <row r="48" spans="1:3" x14ac:dyDescent="0.25">
      <c r="A48" t="s">
        <v>73</v>
      </c>
      <c r="B48">
        <v>-1000</v>
      </c>
      <c r="C48">
        <v>1000</v>
      </c>
    </row>
    <row r="49" spans="1:3" x14ac:dyDescent="0.25">
      <c r="A49" t="s">
        <v>74</v>
      </c>
      <c r="B49">
        <v>-1000</v>
      </c>
      <c r="C49">
        <v>1000</v>
      </c>
    </row>
    <row r="50" spans="1:3" x14ac:dyDescent="0.25">
      <c r="A50" t="s">
        <v>75</v>
      </c>
      <c r="B50">
        <v>-1000</v>
      </c>
      <c r="C50">
        <v>1000</v>
      </c>
    </row>
    <row r="51" spans="1:3" x14ac:dyDescent="0.25">
      <c r="A51" t="s">
        <v>76</v>
      </c>
      <c r="B51">
        <v>-1000</v>
      </c>
      <c r="C51">
        <v>1000</v>
      </c>
    </row>
    <row r="52" spans="1:3" x14ac:dyDescent="0.25">
      <c r="A52" t="s">
        <v>77</v>
      </c>
      <c r="B52">
        <v>-1000</v>
      </c>
      <c r="C52">
        <v>1000</v>
      </c>
    </row>
    <row r="53" spans="1:3" x14ac:dyDescent="0.25">
      <c r="A53" t="s">
        <v>78</v>
      </c>
      <c r="B53">
        <v>-1000</v>
      </c>
      <c r="C53">
        <v>1000</v>
      </c>
    </row>
    <row r="54" spans="1:3" x14ac:dyDescent="0.25">
      <c r="A54" t="s">
        <v>79</v>
      </c>
      <c r="B54">
        <v>-1000</v>
      </c>
      <c r="C54">
        <v>1000</v>
      </c>
    </row>
    <row r="55" spans="1:3" x14ac:dyDescent="0.25">
      <c r="A55" t="s">
        <v>80</v>
      </c>
      <c r="B55">
        <v>-1000</v>
      </c>
      <c r="C55">
        <v>1000</v>
      </c>
    </row>
    <row r="56" spans="1:3" x14ac:dyDescent="0.25">
      <c r="A56" t="s">
        <v>81</v>
      </c>
      <c r="B56">
        <v>-1000</v>
      </c>
      <c r="C56">
        <v>1000</v>
      </c>
    </row>
    <row r="57" spans="1:3" x14ac:dyDescent="0.25">
      <c r="A57" t="s">
        <v>82</v>
      </c>
      <c r="B57">
        <v>-1000</v>
      </c>
      <c r="C57">
        <v>1000</v>
      </c>
    </row>
    <row r="58" spans="1:3" x14ac:dyDescent="0.25">
      <c r="A58" t="s">
        <v>83</v>
      </c>
      <c r="B58">
        <v>-1000</v>
      </c>
      <c r="C58">
        <v>1000</v>
      </c>
    </row>
    <row r="59" spans="1:3" x14ac:dyDescent="0.25">
      <c r="A59" t="s">
        <v>84</v>
      </c>
      <c r="B59">
        <v>-1000</v>
      </c>
      <c r="C59">
        <v>1000</v>
      </c>
    </row>
    <row r="60" spans="1:3" x14ac:dyDescent="0.25">
      <c r="A60" t="s">
        <v>365</v>
      </c>
      <c r="B60">
        <v>0</v>
      </c>
      <c r="C60">
        <v>0</v>
      </c>
    </row>
    <row r="61" spans="1:3" x14ac:dyDescent="0.25">
      <c r="A61" t="s">
        <v>328</v>
      </c>
      <c r="B61">
        <v>-1000</v>
      </c>
      <c r="C61">
        <v>1000</v>
      </c>
    </row>
    <row r="62" spans="1:3" x14ac:dyDescent="0.25">
      <c r="A62" t="s">
        <v>85</v>
      </c>
      <c r="B62">
        <v>-1000</v>
      </c>
      <c r="C62">
        <v>1000</v>
      </c>
    </row>
    <row r="63" spans="1:3" x14ac:dyDescent="0.25">
      <c r="A63" t="s">
        <v>86</v>
      </c>
      <c r="B63">
        <v>-1000</v>
      </c>
      <c r="C63">
        <v>1000</v>
      </c>
    </row>
    <row r="64" spans="1:3" x14ac:dyDescent="0.25">
      <c r="A64" t="s">
        <v>87</v>
      </c>
      <c r="B64">
        <v>-1000</v>
      </c>
      <c r="C64">
        <v>1000</v>
      </c>
    </row>
    <row r="65" spans="1:3" x14ac:dyDescent="0.25">
      <c r="A65" t="s">
        <v>88</v>
      </c>
      <c r="B65">
        <v>-1000</v>
      </c>
      <c r="C65">
        <v>1000</v>
      </c>
    </row>
    <row r="66" spans="1:3" x14ac:dyDescent="0.25">
      <c r="A66" t="s">
        <v>89</v>
      </c>
      <c r="B66">
        <v>-1000</v>
      </c>
      <c r="C66">
        <v>1000</v>
      </c>
    </row>
    <row r="67" spans="1:3" x14ac:dyDescent="0.25">
      <c r="A67" t="s">
        <v>90</v>
      </c>
      <c r="B67">
        <v>0</v>
      </c>
      <c r="C67">
        <v>1000</v>
      </c>
    </row>
    <row r="68" spans="1:3" x14ac:dyDescent="0.25">
      <c r="A68" t="s">
        <v>329</v>
      </c>
      <c r="B68">
        <v>-1000</v>
      </c>
      <c r="C68">
        <v>1000</v>
      </c>
    </row>
    <row r="69" spans="1:3" x14ac:dyDescent="0.25">
      <c r="A69" t="s">
        <v>91</v>
      </c>
      <c r="B69">
        <v>-1000</v>
      </c>
      <c r="C69">
        <v>1000</v>
      </c>
    </row>
    <row r="70" spans="1:3" x14ac:dyDescent="0.25">
      <c r="A70" t="s">
        <v>92</v>
      </c>
      <c r="B70">
        <v>-1000</v>
      </c>
      <c r="C70">
        <v>1000</v>
      </c>
    </row>
    <row r="71" spans="1:3" x14ac:dyDescent="0.25">
      <c r="A71" t="s">
        <v>93</v>
      </c>
      <c r="B71">
        <v>-1000</v>
      </c>
      <c r="C71">
        <v>1000</v>
      </c>
    </row>
    <row r="72" spans="1:3" x14ac:dyDescent="0.25">
      <c r="A72" t="s">
        <v>94</v>
      </c>
      <c r="B72">
        <v>-1000</v>
      </c>
      <c r="C72">
        <v>1000</v>
      </c>
    </row>
    <row r="73" spans="1:3" x14ac:dyDescent="0.25">
      <c r="A73" t="s">
        <v>330</v>
      </c>
      <c r="B73">
        <v>0</v>
      </c>
      <c r="C73">
        <v>1000</v>
      </c>
    </row>
    <row r="74" spans="1:3" x14ac:dyDescent="0.25">
      <c r="A74" t="s">
        <v>95</v>
      </c>
      <c r="B74">
        <v>-1000</v>
      </c>
      <c r="C74">
        <v>1000</v>
      </c>
    </row>
    <row r="75" spans="1:3" x14ac:dyDescent="0.25">
      <c r="A75" t="s">
        <v>331</v>
      </c>
      <c r="B75">
        <v>-1000</v>
      </c>
      <c r="C75">
        <v>1000</v>
      </c>
    </row>
    <row r="76" spans="1:3" x14ac:dyDescent="0.25">
      <c r="A76" t="s">
        <v>96</v>
      </c>
      <c r="B76">
        <v>-1000</v>
      </c>
      <c r="C76">
        <v>1000</v>
      </c>
    </row>
    <row r="77" spans="1:3" x14ac:dyDescent="0.25">
      <c r="A77" t="s">
        <v>97</v>
      </c>
      <c r="B77">
        <v>-1000</v>
      </c>
      <c r="C77">
        <v>1000</v>
      </c>
    </row>
    <row r="78" spans="1:3" x14ac:dyDescent="0.25">
      <c r="A78" t="s">
        <v>98</v>
      </c>
      <c r="B78">
        <v>-1000</v>
      </c>
      <c r="C78">
        <v>1000</v>
      </c>
    </row>
    <row r="79" spans="1:3" x14ac:dyDescent="0.25">
      <c r="A79" t="s">
        <v>99</v>
      </c>
      <c r="B79">
        <v>-1000</v>
      </c>
      <c r="C79">
        <v>1000</v>
      </c>
    </row>
    <row r="80" spans="1:3" x14ac:dyDescent="0.25">
      <c r="A80" t="s">
        <v>100</v>
      </c>
      <c r="B80">
        <v>-1000</v>
      </c>
      <c r="C80">
        <v>1000</v>
      </c>
    </row>
    <row r="81" spans="1:3" x14ac:dyDescent="0.25">
      <c r="A81" t="s">
        <v>101</v>
      </c>
      <c r="B81">
        <v>-1000</v>
      </c>
      <c r="C81">
        <v>1000</v>
      </c>
    </row>
    <row r="82" spans="1:3" x14ac:dyDescent="0.25">
      <c r="A82" t="s">
        <v>102</v>
      </c>
      <c r="B82">
        <v>-1000</v>
      </c>
      <c r="C82">
        <v>1000</v>
      </c>
    </row>
    <row r="83" spans="1:3" x14ac:dyDescent="0.25">
      <c r="A83" t="s">
        <v>103</v>
      </c>
      <c r="B83">
        <v>-1000</v>
      </c>
      <c r="C83">
        <v>1000</v>
      </c>
    </row>
    <row r="84" spans="1:3" x14ac:dyDescent="0.25">
      <c r="A84" t="s">
        <v>104</v>
      </c>
      <c r="B84">
        <v>-1000</v>
      </c>
      <c r="C84">
        <v>1000</v>
      </c>
    </row>
    <row r="85" spans="1:3" x14ac:dyDescent="0.25">
      <c r="A85" t="s">
        <v>105</v>
      </c>
      <c r="B85">
        <v>-1000</v>
      </c>
      <c r="C85">
        <v>1000</v>
      </c>
    </row>
    <row r="86" spans="1:3" x14ac:dyDescent="0.25">
      <c r="A86" t="s">
        <v>106</v>
      </c>
      <c r="B86">
        <v>-1000</v>
      </c>
      <c r="C86">
        <v>1000</v>
      </c>
    </row>
    <row r="87" spans="1:3" x14ac:dyDescent="0.25">
      <c r="A87" t="s">
        <v>107</v>
      </c>
      <c r="B87">
        <v>-1000</v>
      </c>
      <c r="C87">
        <v>1000</v>
      </c>
    </row>
    <row r="88" spans="1:3" x14ac:dyDescent="0.25">
      <c r="A88" t="s">
        <v>108</v>
      </c>
      <c r="B88">
        <v>-1000</v>
      </c>
      <c r="C88">
        <v>1000</v>
      </c>
    </row>
    <row r="89" spans="1:3" x14ac:dyDescent="0.25">
      <c r="A89" t="s">
        <v>109</v>
      </c>
      <c r="B89">
        <v>-1000</v>
      </c>
      <c r="C89">
        <v>1000</v>
      </c>
    </row>
    <row r="90" spans="1:3" x14ac:dyDescent="0.25">
      <c r="A90" t="s">
        <v>110</v>
      </c>
      <c r="B90">
        <v>-1000</v>
      </c>
      <c r="C90">
        <v>1000</v>
      </c>
    </row>
    <row r="91" spans="1:3" x14ac:dyDescent="0.25">
      <c r="A91" t="s">
        <v>111</v>
      </c>
      <c r="B91">
        <v>-1000</v>
      </c>
      <c r="C91">
        <v>1000</v>
      </c>
    </row>
    <row r="92" spans="1:3" x14ac:dyDescent="0.25">
      <c r="A92" t="s">
        <v>112</v>
      </c>
      <c r="B92">
        <v>-1000</v>
      </c>
      <c r="C92">
        <v>1000</v>
      </c>
    </row>
    <row r="93" spans="1:3" x14ac:dyDescent="0.25">
      <c r="A93" t="s">
        <v>113</v>
      </c>
      <c r="B93">
        <v>-1000</v>
      </c>
      <c r="C93">
        <v>1000</v>
      </c>
    </row>
    <row r="94" spans="1:3" x14ac:dyDescent="0.25">
      <c r="A94" t="s">
        <v>114</v>
      </c>
      <c r="B94">
        <v>-1000</v>
      </c>
      <c r="C94">
        <v>1000</v>
      </c>
    </row>
    <row r="95" spans="1:3" x14ac:dyDescent="0.25">
      <c r="A95" t="s">
        <v>115</v>
      </c>
      <c r="B95">
        <v>-1000</v>
      </c>
      <c r="C95">
        <v>1000</v>
      </c>
    </row>
    <row r="96" spans="1:3" x14ac:dyDescent="0.25">
      <c r="A96" t="s">
        <v>116</v>
      </c>
      <c r="B96">
        <v>-1000</v>
      </c>
      <c r="C96">
        <v>1000</v>
      </c>
    </row>
    <row r="97" spans="1:3" x14ac:dyDescent="0.25">
      <c r="A97" t="s">
        <v>117</v>
      </c>
      <c r="B97">
        <v>-1000</v>
      </c>
      <c r="C97">
        <v>1000</v>
      </c>
    </row>
    <row r="98" spans="1:3" x14ac:dyDescent="0.25">
      <c r="A98" t="s">
        <v>118</v>
      </c>
      <c r="B98">
        <v>-1000</v>
      </c>
      <c r="C98">
        <v>1000</v>
      </c>
    </row>
    <row r="99" spans="1:3" x14ac:dyDescent="0.25">
      <c r="A99" t="s">
        <v>119</v>
      </c>
      <c r="B99">
        <v>-1000</v>
      </c>
      <c r="C99">
        <v>1000</v>
      </c>
    </row>
    <row r="100" spans="1:3" x14ac:dyDescent="0.25">
      <c r="A100" t="s">
        <v>120</v>
      </c>
      <c r="B100">
        <v>-1000</v>
      </c>
      <c r="C100">
        <v>1000</v>
      </c>
    </row>
    <row r="101" spans="1:3" x14ac:dyDescent="0.25">
      <c r="A101" t="s">
        <v>121</v>
      </c>
      <c r="B101">
        <v>-1000</v>
      </c>
      <c r="C101">
        <v>1000</v>
      </c>
    </row>
    <row r="102" spans="1:3" x14ac:dyDescent="0.25">
      <c r="A102" t="s">
        <v>122</v>
      </c>
      <c r="B102">
        <v>-1000</v>
      </c>
      <c r="C102">
        <v>1000</v>
      </c>
    </row>
    <row r="103" spans="1:3" x14ac:dyDescent="0.25">
      <c r="A103" t="s">
        <v>123</v>
      </c>
      <c r="B103">
        <v>-1000</v>
      </c>
      <c r="C103">
        <v>1000</v>
      </c>
    </row>
    <row r="104" spans="1:3" x14ac:dyDescent="0.25">
      <c r="A104" t="s">
        <v>124</v>
      </c>
      <c r="B104">
        <v>-1000</v>
      </c>
      <c r="C104">
        <v>1000</v>
      </c>
    </row>
    <row r="105" spans="1:3" x14ac:dyDescent="0.25">
      <c r="A105" t="s">
        <v>332</v>
      </c>
      <c r="B105">
        <v>-1000</v>
      </c>
      <c r="C105">
        <v>1000</v>
      </c>
    </row>
    <row r="106" spans="1:3" x14ac:dyDescent="0.25">
      <c r="A106" t="s">
        <v>333</v>
      </c>
      <c r="B106">
        <v>-1000</v>
      </c>
      <c r="C106">
        <v>1000</v>
      </c>
    </row>
    <row r="107" spans="1:3" x14ac:dyDescent="0.25">
      <c r="A107" t="s">
        <v>125</v>
      </c>
      <c r="B107">
        <v>-1000</v>
      </c>
      <c r="C107">
        <v>1000</v>
      </c>
    </row>
    <row r="108" spans="1:3" x14ac:dyDescent="0.25">
      <c r="A108" t="s">
        <v>126</v>
      </c>
      <c r="B108">
        <v>-1000</v>
      </c>
      <c r="C108">
        <v>1000</v>
      </c>
    </row>
    <row r="109" spans="1:3" x14ac:dyDescent="0.25">
      <c r="A109" t="s">
        <v>127</v>
      </c>
      <c r="B109">
        <v>-1000</v>
      </c>
      <c r="C109">
        <v>1000</v>
      </c>
    </row>
    <row r="110" spans="1:3" x14ac:dyDescent="0.25">
      <c r="A110" t="s">
        <v>128</v>
      </c>
      <c r="B110">
        <v>-1000</v>
      </c>
      <c r="C110">
        <v>1000</v>
      </c>
    </row>
    <row r="111" spans="1:3" x14ac:dyDescent="0.25">
      <c r="A111" t="s">
        <v>129</v>
      </c>
      <c r="B111">
        <v>-1000</v>
      </c>
      <c r="C111">
        <v>1000</v>
      </c>
    </row>
    <row r="112" spans="1:3" x14ac:dyDescent="0.25">
      <c r="A112" t="s">
        <v>130</v>
      </c>
      <c r="B112">
        <v>-1000</v>
      </c>
      <c r="C112">
        <v>1000</v>
      </c>
    </row>
    <row r="113" spans="1:3" x14ac:dyDescent="0.25">
      <c r="A113" t="s">
        <v>364</v>
      </c>
      <c r="B113">
        <v>-1000</v>
      </c>
      <c r="C113">
        <v>1000</v>
      </c>
    </row>
    <row r="114" spans="1:3" x14ac:dyDescent="0.25">
      <c r="A114" t="s">
        <v>131</v>
      </c>
      <c r="B114">
        <v>-1000</v>
      </c>
      <c r="C114">
        <v>1000</v>
      </c>
    </row>
    <row r="115" spans="1:3" x14ac:dyDescent="0.25">
      <c r="A115" t="s">
        <v>132</v>
      </c>
      <c r="B115">
        <v>-1000</v>
      </c>
      <c r="C115">
        <v>1000</v>
      </c>
    </row>
    <row r="116" spans="1:3" x14ac:dyDescent="0.25">
      <c r="A116" t="s">
        <v>334</v>
      </c>
      <c r="B116">
        <v>-1000</v>
      </c>
      <c r="C116">
        <v>1000</v>
      </c>
    </row>
    <row r="117" spans="1:3" x14ac:dyDescent="0.25">
      <c r="A117" t="s">
        <v>133</v>
      </c>
      <c r="B117">
        <v>-1000</v>
      </c>
      <c r="C117">
        <v>1000</v>
      </c>
    </row>
    <row r="118" spans="1:3" x14ac:dyDescent="0.25">
      <c r="A118" t="s">
        <v>135</v>
      </c>
      <c r="B118">
        <v>-1000</v>
      </c>
      <c r="C118">
        <v>1000</v>
      </c>
    </row>
    <row r="119" spans="1:3" x14ac:dyDescent="0.25">
      <c r="A119" t="s">
        <v>136</v>
      </c>
      <c r="B119">
        <v>-1000</v>
      </c>
      <c r="C119">
        <v>1000</v>
      </c>
    </row>
    <row r="120" spans="1:3" x14ac:dyDescent="0.25">
      <c r="A120" t="s">
        <v>137</v>
      </c>
      <c r="B120">
        <v>-1000</v>
      </c>
      <c r="C120">
        <v>1000</v>
      </c>
    </row>
    <row r="121" spans="1:3" x14ac:dyDescent="0.25">
      <c r="A121" t="s">
        <v>138</v>
      </c>
      <c r="B121">
        <v>-1000</v>
      </c>
      <c r="C121">
        <v>1000</v>
      </c>
    </row>
    <row r="122" spans="1:3" x14ac:dyDescent="0.25">
      <c r="A122" t="s">
        <v>139</v>
      </c>
      <c r="B122">
        <v>-1000</v>
      </c>
      <c r="C122">
        <v>1000</v>
      </c>
    </row>
    <row r="123" spans="1:3" x14ac:dyDescent="0.25">
      <c r="A123" t="s">
        <v>140</v>
      </c>
      <c r="B123">
        <v>-1000</v>
      </c>
      <c r="C123">
        <v>1000</v>
      </c>
    </row>
    <row r="124" spans="1:3" x14ac:dyDescent="0.25">
      <c r="A124" t="s">
        <v>141</v>
      </c>
      <c r="B124">
        <v>-1000</v>
      </c>
      <c r="C124">
        <v>1000</v>
      </c>
    </row>
    <row r="125" spans="1:3" x14ac:dyDescent="0.25">
      <c r="A125" t="s">
        <v>142</v>
      </c>
      <c r="B125">
        <v>-1000</v>
      </c>
      <c r="C125">
        <v>1000</v>
      </c>
    </row>
    <row r="126" spans="1:3" x14ac:dyDescent="0.25">
      <c r="A126" t="s">
        <v>367</v>
      </c>
      <c r="B126">
        <v>0</v>
      </c>
      <c r="C126">
        <v>0</v>
      </c>
    </row>
    <row r="127" spans="1:3" x14ac:dyDescent="0.25">
      <c r="A127" t="s">
        <v>368</v>
      </c>
      <c r="B127">
        <v>0</v>
      </c>
      <c r="C127">
        <v>0</v>
      </c>
    </row>
    <row r="128" spans="1:3" x14ac:dyDescent="0.25">
      <c r="A128" t="s">
        <v>143</v>
      </c>
      <c r="B128">
        <v>-1000</v>
      </c>
      <c r="C128">
        <v>1000</v>
      </c>
    </row>
    <row r="129" spans="1:3" x14ac:dyDescent="0.25">
      <c r="A129" t="s">
        <v>366</v>
      </c>
      <c r="B129">
        <v>0</v>
      </c>
      <c r="C129">
        <v>0</v>
      </c>
    </row>
    <row r="130" spans="1:3" x14ac:dyDescent="0.25">
      <c r="A130" t="s">
        <v>145</v>
      </c>
      <c r="B130">
        <v>-1000</v>
      </c>
      <c r="C130">
        <v>1000</v>
      </c>
    </row>
    <row r="131" spans="1:3" x14ac:dyDescent="0.25">
      <c r="A131" t="s">
        <v>146</v>
      </c>
      <c r="B131">
        <v>0</v>
      </c>
      <c r="C131">
        <v>1000</v>
      </c>
    </row>
    <row r="132" spans="1:3" x14ac:dyDescent="0.25">
      <c r="A132" t="s">
        <v>147</v>
      </c>
      <c r="B132">
        <v>0</v>
      </c>
      <c r="C132">
        <v>1000</v>
      </c>
    </row>
    <row r="133" spans="1:3" x14ac:dyDescent="0.25">
      <c r="A133" t="s">
        <v>148</v>
      </c>
      <c r="B133">
        <v>-1000</v>
      </c>
      <c r="C133">
        <v>1000</v>
      </c>
    </row>
    <row r="134" spans="1:3" x14ac:dyDescent="0.25">
      <c r="A134" t="s">
        <v>149</v>
      </c>
      <c r="B134">
        <v>-1000</v>
      </c>
      <c r="C134">
        <v>1000</v>
      </c>
    </row>
    <row r="135" spans="1:3" x14ac:dyDescent="0.25">
      <c r="A135" t="s">
        <v>361</v>
      </c>
      <c r="B135">
        <v>0</v>
      </c>
      <c r="C135">
        <v>0</v>
      </c>
    </row>
    <row r="136" spans="1:3" x14ac:dyDescent="0.25">
      <c r="A136" t="s">
        <v>362</v>
      </c>
      <c r="B136">
        <v>0</v>
      </c>
      <c r="C136">
        <v>1000</v>
      </c>
    </row>
    <row r="137" spans="1:3" x14ac:dyDescent="0.25">
      <c r="A137" t="s">
        <v>151</v>
      </c>
      <c r="B137">
        <v>-1000</v>
      </c>
      <c r="C137">
        <v>1000</v>
      </c>
    </row>
    <row r="138" spans="1:3" x14ac:dyDescent="0.25">
      <c r="A138" t="s">
        <v>152</v>
      </c>
      <c r="B138">
        <v>-1000</v>
      </c>
      <c r="C138">
        <v>1000</v>
      </c>
    </row>
    <row r="139" spans="1:3" x14ac:dyDescent="0.25">
      <c r="A139" t="s">
        <v>153</v>
      </c>
      <c r="B139">
        <v>-1000</v>
      </c>
      <c r="C139">
        <v>1000</v>
      </c>
    </row>
    <row r="140" spans="1:3" x14ac:dyDescent="0.25">
      <c r="A140" t="s">
        <v>154</v>
      </c>
      <c r="B140">
        <v>-1000</v>
      </c>
      <c r="C140">
        <v>1000</v>
      </c>
    </row>
    <row r="141" spans="1:3" x14ac:dyDescent="0.25">
      <c r="A141" t="s">
        <v>144</v>
      </c>
      <c r="B141">
        <v>0</v>
      </c>
      <c r="C141">
        <v>1000</v>
      </c>
    </row>
    <row r="142" spans="1:3" x14ac:dyDescent="0.25">
      <c r="A142" t="s">
        <v>155</v>
      </c>
      <c r="B142">
        <v>-1000</v>
      </c>
      <c r="C142">
        <v>1000</v>
      </c>
    </row>
    <row r="143" spans="1:3" x14ac:dyDescent="0.25">
      <c r="A143" t="s">
        <v>156</v>
      </c>
      <c r="B143">
        <v>-1000</v>
      </c>
      <c r="C143">
        <v>1000</v>
      </c>
    </row>
    <row r="144" spans="1:3" x14ac:dyDescent="0.25">
      <c r="A144" t="s">
        <v>157</v>
      </c>
      <c r="B144">
        <v>-1000</v>
      </c>
      <c r="C144">
        <v>1000</v>
      </c>
    </row>
    <row r="145" spans="1:3" x14ac:dyDescent="0.25">
      <c r="A145" t="s">
        <v>158</v>
      </c>
      <c r="B145">
        <v>-1000</v>
      </c>
      <c r="C145">
        <v>1000</v>
      </c>
    </row>
    <row r="146" spans="1:3" x14ac:dyDescent="0.25">
      <c r="A146" t="s">
        <v>159</v>
      </c>
      <c r="B146">
        <v>-1000</v>
      </c>
      <c r="C146">
        <v>1000</v>
      </c>
    </row>
    <row r="147" spans="1:3" x14ac:dyDescent="0.25">
      <c r="A147" t="s">
        <v>385</v>
      </c>
      <c r="B147">
        <v>-1000</v>
      </c>
      <c r="C147">
        <v>1000</v>
      </c>
    </row>
    <row r="148" spans="1:3" x14ac:dyDescent="0.25">
      <c r="A148" t="s">
        <v>160</v>
      </c>
      <c r="B148">
        <v>-1000</v>
      </c>
      <c r="C148">
        <v>1000</v>
      </c>
    </row>
    <row r="149" spans="1:3" x14ac:dyDescent="0.25">
      <c r="A149" t="s">
        <v>161</v>
      </c>
      <c r="B149">
        <v>-1000</v>
      </c>
      <c r="C149">
        <v>1000</v>
      </c>
    </row>
    <row r="150" spans="1:3" x14ac:dyDescent="0.25">
      <c r="A150" t="s">
        <v>162</v>
      </c>
      <c r="B150">
        <v>-1000</v>
      </c>
      <c r="C150">
        <v>1000</v>
      </c>
    </row>
    <row r="151" spans="1:3" x14ac:dyDescent="0.25">
      <c r="A151" t="s">
        <v>163</v>
      </c>
      <c r="B151">
        <v>-1000</v>
      </c>
      <c r="C151">
        <v>1000</v>
      </c>
    </row>
    <row r="152" spans="1:3" x14ac:dyDescent="0.25">
      <c r="A152" t="s">
        <v>164</v>
      </c>
      <c r="B152">
        <v>-1000</v>
      </c>
      <c r="C152">
        <v>1000</v>
      </c>
    </row>
    <row r="153" spans="1:3" x14ac:dyDescent="0.25">
      <c r="A153" t="s">
        <v>165</v>
      </c>
      <c r="B153">
        <v>-1000</v>
      </c>
      <c r="C153">
        <v>1000</v>
      </c>
    </row>
    <row r="154" spans="1:3" x14ac:dyDescent="0.25">
      <c r="A154" t="s">
        <v>166</v>
      </c>
      <c r="B154">
        <v>-1000</v>
      </c>
      <c r="C154">
        <v>1000</v>
      </c>
    </row>
    <row r="155" spans="1:3" x14ac:dyDescent="0.25">
      <c r="A155" t="s">
        <v>167</v>
      </c>
      <c r="B155">
        <v>-1000</v>
      </c>
      <c r="C155">
        <v>1000</v>
      </c>
    </row>
    <row r="156" spans="1:3" x14ac:dyDescent="0.25">
      <c r="A156" t="s">
        <v>335</v>
      </c>
      <c r="B156">
        <v>-1000</v>
      </c>
      <c r="C156">
        <v>1000</v>
      </c>
    </row>
    <row r="157" spans="1:3" x14ac:dyDescent="0.25">
      <c r="A157" t="s">
        <v>168</v>
      </c>
      <c r="B157">
        <v>-1000</v>
      </c>
      <c r="C157">
        <v>1000</v>
      </c>
    </row>
    <row r="158" spans="1:3" x14ac:dyDescent="0.25">
      <c r="A158" t="s">
        <v>169</v>
      </c>
      <c r="B158">
        <v>-1000</v>
      </c>
      <c r="C158">
        <v>1000</v>
      </c>
    </row>
    <row r="159" spans="1:3" x14ac:dyDescent="0.25">
      <c r="A159" t="s">
        <v>170</v>
      </c>
      <c r="B159">
        <v>-1000</v>
      </c>
      <c r="C159">
        <v>1000</v>
      </c>
    </row>
    <row r="160" spans="1:3" x14ac:dyDescent="0.25">
      <c r="A160" t="s">
        <v>171</v>
      </c>
      <c r="B160">
        <v>-1000</v>
      </c>
      <c r="C160">
        <v>1000</v>
      </c>
    </row>
    <row r="161" spans="1:3" x14ac:dyDescent="0.25">
      <c r="A161" t="s">
        <v>173</v>
      </c>
      <c r="B161">
        <v>-1000</v>
      </c>
      <c r="C161">
        <v>1000</v>
      </c>
    </row>
    <row r="162" spans="1:3" x14ac:dyDescent="0.25">
      <c r="A162" t="s">
        <v>174</v>
      </c>
      <c r="B162">
        <v>-1000</v>
      </c>
      <c r="C162">
        <v>1000</v>
      </c>
    </row>
    <row r="163" spans="1:3" x14ac:dyDescent="0.25">
      <c r="A163" t="s">
        <v>175</v>
      </c>
      <c r="B163">
        <v>-1000</v>
      </c>
      <c r="C163">
        <v>1000</v>
      </c>
    </row>
    <row r="164" spans="1:3" x14ac:dyDescent="0.25">
      <c r="A164" t="s">
        <v>435</v>
      </c>
      <c r="B164">
        <v>-1000</v>
      </c>
      <c r="C164">
        <v>1000</v>
      </c>
    </row>
    <row r="165" spans="1:3" x14ac:dyDescent="0.25">
      <c r="A165" t="s">
        <v>176</v>
      </c>
      <c r="B165">
        <v>-1000</v>
      </c>
      <c r="C165">
        <v>1000</v>
      </c>
    </row>
    <row r="166" spans="1:3" x14ac:dyDescent="0.25">
      <c r="A166" t="s">
        <v>177</v>
      </c>
      <c r="B166">
        <v>-1000</v>
      </c>
      <c r="C166">
        <v>1000</v>
      </c>
    </row>
    <row r="167" spans="1:3" x14ac:dyDescent="0.25">
      <c r="A167" t="s">
        <v>363</v>
      </c>
      <c r="B167">
        <v>0</v>
      </c>
      <c r="C167">
        <v>0</v>
      </c>
    </row>
    <row r="168" spans="1:3" x14ac:dyDescent="0.25">
      <c r="A168" t="s">
        <v>336</v>
      </c>
      <c r="B168">
        <v>-1000</v>
      </c>
      <c r="C168">
        <v>1000</v>
      </c>
    </row>
    <row r="169" spans="1:3" x14ac:dyDescent="0.25">
      <c r="A169" t="s">
        <v>360</v>
      </c>
      <c r="B169">
        <v>100</v>
      </c>
      <c r="C169">
        <v>100</v>
      </c>
    </row>
    <row r="170" spans="1:3" x14ac:dyDescent="0.25">
      <c r="A170" t="s">
        <v>178</v>
      </c>
      <c r="B170">
        <f>val!C7</f>
        <v>194.96583861362987</v>
      </c>
      <c r="C170">
        <f>val!C7</f>
        <v>194.96583861362987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3D3C0-14D8-4F0A-9F51-DFB331BCA4FF}">
  <dimension ref="A1:C170"/>
  <sheetViews>
    <sheetView topLeftCell="A28" workbookViewId="0">
      <selection activeCell="A37" sqref="A37"/>
    </sheetView>
  </sheetViews>
  <sheetFormatPr defaultRowHeight="15" x14ac:dyDescent="0.25"/>
  <cols>
    <col min="1" max="1" width="18.5703125" bestFit="1" customWidth="1"/>
  </cols>
  <sheetData>
    <row r="1" spans="1:3" x14ac:dyDescent="0.25">
      <c r="A1" t="s">
        <v>5</v>
      </c>
      <c r="B1" t="s">
        <v>352</v>
      </c>
      <c r="C1" t="s">
        <v>353</v>
      </c>
    </row>
    <row r="2" spans="1:3" x14ac:dyDescent="0.25">
      <c r="A2" t="s">
        <v>39</v>
      </c>
      <c r="B2">
        <v>-1000</v>
      </c>
      <c r="C2">
        <v>1000</v>
      </c>
    </row>
    <row r="3" spans="1:3" x14ac:dyDescent="0.25">
      <c r="A3" t="s">
        <v>359</v>
      </c>
      <c r="B3">
        <v>0</v>
      </c>
      <c r="C3">
        <v>0</v>
      </c>
    </row>
    <row r="4" spans="1:3" x14ac:dyDescent="0.25">
      <c r="A4" t="s">
        <v>386</v>
      </c>
      <c r="B4">
        <v>0</v>
      </c>
      <c r="C4">
        <v>0</v>
      </c>
    </row>
    <row r="5" spans="1:3" x14ac:dyDescent="0.25">
      <c r="A5" t="s">
        <v>358</v>
      </c>
      <c r="B5">
        <v>-1000</v>
      </c>
      <c r="C5">
        <v>1000</v>
      </c>
    </row>
    <row r="6" spans="1:3" x14ac:dyDescent="0.25">
      <c r="A6" t="s">
        <v>40</v>
      </c>
      <c r="B6">
        <v>-1000</v>
      </c>
      <c r="C6">
        <v>1000</v>
      </c>
    </row>
    <row r="7" spans="1:3" x14ac:dyDescent="0.25">
      <c r="A7" t="s">
        <v>41</v>
      </c>
      <c r="B7">
        <v>-1000</v>
      </c>
      <c r="C7">
        <v>1000</v>
      </c>
    </row>
    <row r="8" spans="1:3" x14ac:dyDescent="0.25">
      <c r="A8" t="s">
        <v>42</v>
      </c>
      <c r="B8">
        <v>-1000</v>
      </c>
      <c r="C8">
        <v>1000</v>
      </c>
    </row>
    <row r="9" spans="1:3" x14ac:dyDescent="0.25">
      <c r="A9" t="s">
        <v>43</v>
      </c>
      <c r="B9">
        <v>-1000</v>
      </c>
      <c r="C9">
        <v>1000</v>
      </c>
    </row>
    <row r="10" spans="1:3" x14ac:dyDescent="0.25">
      <c r="A10" t="s">
        <v>44</v>
      </c>
      <c r="B10">
        <v>-1000</v>
      </c>
      <c r="C10">
        <v>1000</v>
      </c>
    </row>
    <row r="11" spans="1:3" x14ac:dyDescent="0.25">
      <c r="A11" t="s">
        <v>45</v>
      </c>
      <c r="B11">
        <v>0</v>
      </c>
      <c r="C11">
        <v>1000</v>
      </c>
    </row>
    <row r="12" spans="1:3" x14ac:dyDescent="0.25">
      <c r="A12" t="s">
        <v>324</v>
      </c>
      <c r="B12">
        <v>0</v>
      </c>
      <c r="C12">
        <v>1000</v>
      </c>
    </row>
    <row r="13" spans="1:3" x14ac:dyDescent="0.25">
      <c r="A13" t="s">
        <v>371</v>
      </c>
      <c r="B13">
        <v>-1000</v>
      </c>
      <c r="C13">
        <v>1000</v>
      </c>
    </row>
    <row r="14" spans="1:3" x14ac:dyDescent="0.25">
      <c r="A14" t="s">
        <v>371</v>
      </c>
      <c r="B14">
        <v>-1000</v>
      </c>
      <c r="C14">
        <v>1000</v>
      </c>
    </row>
    <row r="15" spans="1:3" x14ac:dyDescent="0.25">
      <c r="A15" t="s">
        <v>46</v>
      </c>
      <c r="B15">
        <v>-1000</v>
      </c>
      <c r="C15">
        <v>1000</v>
      </c>
    </row>
    <row r="16" spans="1:3" x14ac:dyDescent="0.25">
      <c r="A16" t="s">
        <v>47</v>
      </c>
      <c r="B16">
        <v>-1000</v>
      </c>
      <c r="C16">
        <v>1000</v>
      </c>
    </row>
    <row r="17" spans="1:3" x14ac:dyDescent="0.25">
      <c r="A17" t="s">
        <v>48</v>
      </c>
      <c r="B17">
        <v>-1000</v>
      </c>
      <c r="C17">
        <v>1000</v>
      </c>
    </row>
    <row r="18" spans="1:3" x14ac:dyDescent="0.25">
      <c r="A18" t="s">
        <v>49</v>
      </c>
      <c r="B18">
        <v>-1000</v>
      </c>
      <c r="C18">
        <v>1000</v>
      </c>
    </row>
    <row r="19" spans="1:3" x14ac:dyDescent="0.25">
      <c r="A19" t="s">
        <v>50</v>
      </c>
      <c r="B19">
        <v>-1000</v>
      </c>
      <c r="C19">
        <v>1000</v>
      </c>
    </row>
    <row r="20" spans="1:3" x14ac:dyDescent="0.25">
      <c r="A20" t="s">
        <v>51</v>
      </c>
      <c r="B20">
        <v>-1000</v>
      </c>
      <c r="C20">
        <v>1000</v>
      </c>
    </row>
    <row r="21" spans="1:3" x14ac:dyDescent="0.25">
      <c r="A21" t="s">
        <v>52</v>
      </c>
      <c r="B21">
        <v>-1000</v>
      </c>
      <c r="C21">
        <v>1000</v>
      </c>
    </row>
    <row r="22" spans="1:3" x14ac:dyDescent="0.25">
      <c r="A22" t="s">
        <v>53</v>
      </c>
      <c r="B22">
        <v>-1000</v>
      </c>
      <c r="C22">
        <v>1000</v>
      </c>
    </row>
    <row r="23" spans="1:3" x14ac:dyDescent="0.25">
      <c r="A23" t="s">
        <v>54</v>
      </c>
      <c r="B23">
        <v>-1000</v>
      </c>
      <c r="C23">
        <v>1000</v>
      </c>
    </row>
    <row r="24" spans="1:3" x14ac:dyDescent="0.25">
      <c r="A24" t="s">
        <v>55</v>
      </c>
      <c r="B24">
        <v>-1000</v>
      </c>
      <c r="C24">
        <v>1000</v>
      </c>
    </row>
    <row r="25" spans="1:3" x14ac:dyDescent="0.25">
      <c r="A25" t="s">
        <v>56</v>
      </c>
      <c r="B25">
        <v>-1000</v>
      </c>
      <c r="C25">
        <v>1000</v>
      </c>
    </row>
    <row r="26" spans="1:3" x14ac:dyDescent="0.25">
      <c r="A26" t="s">
        <v>57</v>
      </c>
      <c r="B26">
        <v>-1000</v>
      </c>
      <c r="C26">
        <v>1000</v>
      </c>
    </row>
    <row r="27" spans="1:3" x14ac:dyDescent="0.25">
      <c r="A27" t="s">
        <v>58</v>
      </c>
      <c r="B27">
        <v>-1000</v>
      </c>
      <c r="C27">
        <v>1000</v>
      </c>
    </row>
    <row r="28" spans="1:3" x14ac:dyDescent="0.25">
      <c r="A28" t="s">
        <v>59</v>
      </c>
      <c r="B28">
        <v>-1000</v>
      </c>
      <c r="C28">
        <v>1000</v>
      </c>
    </row>
    <row r="29" spans="1:3" x14ac:dyDescent="0.25">
      <c r="A29" t="s">
        <v>325</v>
      </c>
      <c r="B29">
        <v>-1000</v>
      </c>
      <c r="C29">
        <v>1000</v>
      </c>
    </row>
    <row r="30" spans="1:3" x14ac:dyDescent="0.25">
      <c r="A30" t="s">
        <v>60</v>
      </c>
      <c r="B30">
        <v>-1000</v>
      </c>
      <c r="C30">
        <v>1000</v>
      </c>
    </row>
    <row r="31" spans="1:3" x14ac:dyDescent="0.25">
      <c r="A31" t="s">
        <v>61</v>
      </c>
      <c r="B31">
        <v>-1000</v>
      </c>
      <c r="C31">
        <v>1000</v>
      </c>
    </row>
    <row r="32" spans="1:3" x14ac:dyDescent="0.25">
      <c r="A32" t="s">
        <v>62</v>
      </c>
      <c r="B32">
        <v>-1000</v>
      </c>
      <c r="C32">
        <v>1000</v>
      </c>
    </row>
    <row r="33" spans="1:3" x14ac:dyDescent="0.25">
      <c r="A33" t="s">
        <v>63</v>
      </c>
      <c r="B33">
        <v>-1000</v>
      </c>
      <c r="C33">
        <v>1000</v>
      </c>
    </row>
    <row r="34" spans="1:3" x14ac:dyDescent="0.25">
      <c r="A34" t="s">
        <v>64</v>
      </c>
      <c r="B34">
        <v>-1000</v>
      </c>
      <c r="C34">
        <v>1000</v>
      </c>
    </row>
    <row r="35" spans="1:3" x14ac:dyDescent="0.25">
      <c r="A35" t="s">
        <v>65</v>
      </c>
      <c r="B35">
        <v>-1000</v>
      </c>
      <c r="C35">
        <v>1000</v>
      </c>
    </row>
    <row r="36" spans="1:3" x14ac:dyDescent="0.25">
      <c r="A36" t="s">
        <v>66</v>
      </c>
      <c r="B36">
        <v>-1000</v>
      </c>
      <c r="C36">
        <v>1000</v>
      </c>
    </row>
    <row r="37" spans="1:3" x14ac:dyDescent="0.25">
      <c r="A37" t="s">
        <v>442</v>
      </c>
      <c r="B37">
        <v>-1000</v>
      </c>
      <c r="C37">
        <v>1000</v>
      </c>
    </row>
    <row r="38" spans="1:3" x14ac:dyDescent="0.25">
      <c r="A38" t="s">
        <v>438</v>
      </c>
      <c r="B38">
        <v>0</v>
      </c>
      <c r="C38">
        <v>0</v>
      </c>
    </row>
    <row r="39" spans="1:3" x14ac:dyDescent="0.25">
      <c r="A39" t="s">
        <v>326</v>
      </c>
      <c r="B39">
        <v>0</v>
      </c>
      <c r="C39">
        <v>0</v>
      </c>
    </row>
    <row r="40" spans="1:3" x14ac:dyDescent="0.25">
      <c r="A40" t="s">
        <v>369</v>
      </c>
      <c r="B40">
        <v>-1000</v>
      </c>
      <c r="C40">
        <v>1000</v>
      </c>
    </row>
    <row r="41" spans="1:3" x14ac:dyDescent="0.25">
      <c r="A41" t="s">
        <v>67</v>
      </c>
      <c r="B41">
        <v>-1000</v>
      </c>
      <c r="C41">
        <v>1000</v>
      </c>
    </row>
    <row r="42" spans="1:3" x14ac:dyDescent="0.25">
      <c r="A42" t="s">
        <v>327</v>
      </c>
      <c r="B42">
        <v>-1000</v>
      </c>
      <c r="C42">
        <v>1000</v>
      </c>
    </row>
    <row r="43" spans="1:3" x14ac:dyDescent="0.25">
      <c r="A43" t="s">
        <v>68</v>
      </c>
      <c r="B43">
        <v>-1000</v>
      </c>
      <c r="C43">
        <v>1000</v>
      </c>
    </row>
    <row r="44" spans="1:3" x14ac:dyDescent="0.25">
      <c r="A44" t="s">
        <v>69</v>
      </c>
      <c r="B44">
        <v>-1000</v>
      </c>
      <c r="C44">
        <v>1000</v>
      </c>
    </row>
    <row r="45" spans="1:3" x14ac:dyDescent="0.25">
      <c r="A45" t="s">
        <v>70</v>
      </c>
      <c r="B45">
        <v>0</v>
      </c>
      <c r="C45">
        <v>0</v>
      </c>
    </row>
    <row r="46" spans="1:3" x14ac:dyDescent="0.25">
      <c r="A46" t="s">
        <v>71</v>
      </c>
      <c r="B46">
        <v>-1000</v>
      </c>
      <c r="C46">
        <v>1000</v>
      </c>
    </row>
    <row r="47" spans="1:3" x14ac:dyDescent="0.25">
      <c r="A47" t="s">
        <v>72</v>
      </c>
      <c r="B47">
        <v>-1000</v>
      </c>
      <c r="C47">
        <v>1000</v>
      </c>
    </row>
    <row r="48" spans="1:3" x14ac:dyDescent="0.25">
      <c r="A48" t="s">
        <v>73</v>
      </c>
      <c r="B48">
        <v>-1000</v>
      </c>
      <c r="C48">
        <v>1000</v>
      </c>
    </row>
    <row r="49" spans="1:3" x14ac:dyDescent="0.25">
      <c r="A49" t="s">
        <v>74</v>
      </c>
      <c r="B49">
        <v>-1000</v>
      </c>
      <c r="C49">
        <v>1000</v>
      </c>
    </row>
    <row r="50" spans="1:3" x14ac:dyDescent="0.25">
      <c r="A50" t="s">
        <v>75</v>
      </c>
      <c r="B50">
        <v>-1000</v>
      </c>
      <c r="C50">
        <v>1000</v>
      </c>
    </row>
    <row r="51" spans="1:3" x14ac:dyDescent="0.25">
      <c r="A51" t="s">
        <v>76</v>
      </c>
      <c r="B51">
        <v>-1000</v>
      </c>
      <c r="C51">
        <v>1000</v>
      </c>
    </row>
    <row r="52" spans="1:3" x14ac:dyDescent="0.25">
      <c r="A52" t="s">
        <v>77</v>
      </c>
      <c r="B52">
        <v>-1000</v>
      </c>
      <c r="C52">
        <v>1000</v>
      </c>
    </row>
    <row r="53" spans="1:3" x14ac:dyDescent="0.25">
      <c r="A53" t="s">
        <v>78</v>
      </c>
      <c r="B53">
        <v>-1000</v>
      </c>
      <c r="C53">
        <v>1000</v>
      </c>
    </row>
    <row r="54" spans="1:3" x14ac:dyDescent="0.25">
      <c r="A54" t="s">
        <v>79</v>
      </c>
      <c r="B54">
        <v>-1000</v>
      </c>
      <c r="C54">
        <v>1000</v>
      </c>
    </row>
    <row r="55" spans="1:3" x14ac:dyDescent="0.25">
      <c r="A55" t="s">
        <v>80</v>
      </c>
      <c r="B55">
        <v>-1000</v>
      </c>
      <c r="C55">
        <v>1000</v>
      </c>
    </row>
    <row r="56" spans="1:3" x14ac:dyDescent="0.25">
      <c r="A56" t="s">
        <v>81</v>
      </c>
      <c r="B56">
        <v>-1000</v>
      </c>
      <c r="C56">
        <v>1000</v>
      </c>
    </row>
    <row r="57" spans="1:3" x14ac:dyDescent="0.25">
      <c r="A57" t="s">
        <v>82</v>
      </c>
      <c r="B57">
        <v>-1000</v>
      </c>
      <c r="C57">
        <v>1000</v>
      </c>
    </row>
    <row r="58" spans="1:3" x14ac:dyDescent="0.25">
      <c r="A58" t="s">
        <v>83</v>
      </c>
      <c r="B58">
        <v>-1000</v>
      </c>
      <c r="C58">
        <v>1000</v>
      </c>
    </row>
    <row r="59" spans="1:3" x14ac:dyDescent="0.25">
      <c r="A59" t="s">
        <v>84</v>
      </c>
      <c r="B59">
        <v>-1000</v>
      </c>
      <c r="C59">
        <v>1000</v>
      </c>
    </row>
    <row r="60" spans="1:3" x14ac:dyDescent="0.25">
      <c r="A60" t="s">
        <v>365</v>
      </c>
      <c r="B60">
        <v>0</v>
      </c>
      <c r="C60">
        <v>0</v>
      </c>
    </row>
    <row r="61" spans="1:3" x14ac:dyDescent="0.25">
      <c r="A61" t="s">
        <v>328</v>
      </c>
      <c r="B61">
        <v>-1000</v>
      </c>
      <c r="C61">
        <v>1000</v>
      </c>
    </row>
    <row r="62" spans="1:3" x14ac:dyDescent="0.25">
      <c r="A62" t="s">
        <v>85</v>
      </c>
      <c r="B62">
        <v>-1000</v>
      </c>
      <c r="C62">
        <v>1000</v>
      </c>
    </row>
    <row r="63" spans="1:3" x14ac:dyDescent="0.25">
      <c r="A63" t="s">
        <v>86</v>
      </c>
      <c r="B63">
        <v>-1000</v>
      </c>
      <c r="C63">
        <v>1000</v>
      </c>
    </row>
    <row r="64" spans="1:3" x14ac:dyDescent="0.25">
      <c r="A64" t="s">
        <v>87</v>
      </c>
      <c r="B64">
        <v>-1000</v>
      </c>
      <c r="C64">
        <v>1000</v>
      </c>
    </row>
    <row r="65" spans="1:3" x14ac:dyDescent="0.25">
      <c r="A65" t="s">
        <v>88</v>
      </c>
      <c r="B65">
        <v>-1000</v>
      </c>
      <c r="C65">
        <v>1000</v>
      </c>
    </row>
    <row r="66" spans="1:3" x14ac:dyDescent="0.25">
      <c r="A66" t="s">
        <v>89</v>
      </c>
      <c r="B66">
        <v>-1000</v>
      </c>
      <c r="C66">
        <v>1000</v>
      </c>
    </row>
    <row r="67" spans="1:3" x14ac:dyDescent="0.25">
      <c r="A67" t="s">
        <v>90</v>
      </c>
      <c r="B67">
        <v>0</v>
      </c>
      <c r="C67">
        <v>1000</v>
      </c>
    </row>
    <row r="68" spans="1:3" x14ac:dyDescent="0.25">
      <c r="A68" t="s">
        <v>329</v>
      </c>
      <c r="B68">
        <v>-1000</v>
      </c>
      <c r="C68">
        <v>1000</v>
      </c>
    </row>
    <row r="69" spans="1:3" x14ac:dyDescent="0.25">
      <c r="A69" t="s">
        <v>91</v>
      </c>
      <c r="B69">
        <v>-1000</v>
      </c>
      <c r="C69">
        <v>1000</v>
      </c>
    </row>
    <row r="70" spans="1:3" x14ac:dyDescent="0.25">
      <c r="A70" t="s">
        <v>92</v>
      </c>
      <c r="B70">
        <v>-1000</v>
      </c>
      <c r="C70">
        <v>1000</v>
      </c>
    </row>
    <row r="71" spans="1:3" x14ac:dyDescent="0.25">
      <c r="A71" t="s">
        <v>93</v>
      </c>
      <c r="B71">
        <v>-1000</v>
      </c>
      <c r="C71">
        <v>1000</v>
      </c>
    </row>
    <row r="72" spans="1:3" x14ac:dyDescent="0.25">
      <c r="A72" t="s">
        <v>94</v>
      </c>
      <c r="B72">
        <v>-1000</v>
      </c>
      <c r="C72">
        <v>1000</v>
      </c>
    </row>
    <row r="73" spans="1:3" x14ac:dyDescent="0.25">
      <c r="A73" t="s">
        <v>330</v>
      </c>
      <c r="B73">
        <v>0</v>
      </c>
      <c r="C73">
        <v>1000</v>
      </c>
    </row>
    <row r="74" spans="1:3" x14ac:dyDescent="0.25">
      <c r="A74" t="s">
        <v>95</v>
      </c>
      <c r="B74">
        <v>-1000</v>
      </c>
      <c r="C74">
        <v>1000</v>
      </c>
    </row>
    <row r="75" spans="1:3" x14ac:dyDescent="0.25">
      <c r="A75" t="s">
        <v>331</v>
      </c>
      <c r="B75">
        <v>-1000</v>
      </c>
      <c r="C75">
        <v>1000</v>
      </c>
    </row>
    <row r="76" spans="1:3" x14ac:dyDescent="0.25">
      <c r="A76" t="s">
        <v>96</v>
      </c>
      <c r="B76">
        <v>-1000</v>
      </c>
      <c r="C76">
        <v>1000</v>
      </c>
    </row>
    <row r="77" spans="1:3" x14ac:dyDescent="0.25">
      <c r="A77" t="s">
        <v>97</v>
      </c>
      <c r="B77">
        <v>-1000</v>
      </c>
      <c r="C77">
        <v>1000</v>
      </c>
    </row>
    <row r="78" spans="1:3" x14ac:dyDescent="0.25">
      <c r="A78" t="s">
        <v>98</v>
      </c>
      <c r="B78">
        <v>-1000</v>
      </c>
      <c r="C78">
        <v>1000</v>
      </c>
    </row>
    <row r="79" spans="1:3" x14ac:dyDescent="0.25">
      <c r="A79" t="s">
        <v>99</v>
      </c>
      <c r="B79">
        <v>-1000</v>
      </c>
      <c r="C79">
        <v>1000</v>
      </c>
    </row>
    <row r="80" spans="1:3" x14ac:dyDescent="0.25">
      <c r="A80" t="s">
        <v>100</v>
      </c>
      <c r="B80">
        <v>-1000</v>
      </c>
      <c r="C80">
        <v>1000</v>
      </c>
    </row>
    <row r="81" spans="1:3" x14ac:dyDescent="0.25">
      <c r="A81" t="s">
        <v>101</v>
      </c>
      <c r="B81">
        <v>-1000</v>
      </c>
      <c r="C81">
        <v>1000</v>
      </c>
    </row>
    <row r="82" spans="1:3" x14ac:dyDescent="0.25">
      <c r="A82" t="s">
        <v>102</v>
      </c>
      <c r="B82">
        <v>-1000</v>
      </c>
      <c r="C82">
        <v>1000</v>
      </c>
    </row>
    <row r="83" spans="1:3" x14ac:dyDescent="0.25">
      <c r="A83" t="s">
        <v>103</v>
      </c>
      <c r="B83">
        <v>-1000</v>
      </c>
      <c r="C83">
        <v>1000</v>
      </c>
    </row>
    <row r="84" spans="1:3" x14ac:dyDescent="0.25">
      <c r="A84" t="s">
        <v>104</v>
      </c>
      <c r="B84">
        <v>-1000</v>
      </c>
      <c r="C84">
        <v>1000</v>
      </c>
    </row>
    <row r="85" spans="1:3" x14ac:dyDescent="0.25">
      <c r="A85" t="s">
        <v>105</v>
      </c>
      <c r="B85">
        <v>-1000</v>
      </c>
      <c r="C85">
        <v>1000</v>
      </c>
    </row>
    <row r="86" spans="1:3" x14ac:dyDescent="0.25">
      <c r="A86" t="s">
        <v>106</v>
      </c>
      <c r="B86">
        <v>-1000</v>
      </c>
      <c r="C86">
        <v>1000</v>
      </c>
    </row>
    <row r="87" spans="1:3" x14ac:dyDescent="0.25">
      <c r="A87" t="s">
        <v>107</v>
      </c>
      <c r="B87">
        <v>-1000</v>
      </c>
      <c r="C87">
        <v>1000</v>
      </c>
    </row>
    <row r="88" spans="1:3" x14ac:dyDescent="0.25">
      <c r="A88" t="s">
        <v>108</v>
      </c>
      <c r="B88">
        <v>-1000</v>
      </c>
      <c r="C88">
        <v>1000</v>
      </c>
    </row>
    <row r="89" spans="1:3" x14ac:dyDescent="0.25">
      <c r="A89" t="s">
        <v>109</v>
      </c>
      <c r="B89">
        <v>-1000</v>
      </c>
      <c r="C89">
        <v>1000</v>
      </c>
    </row>
    <row r="90" spans="1:3" x14ac:dyDescent="0.25">
      <c r="A90" t="s">
        <v>110</v>
      </c>
      <c r="B90">
        <v>-1000</v>
      </c>
      <c r="C90">
        <v>1000</v>
      </c>
    </row>
    <row r="91" spans="1:3" x14ac:dyDescent="0.25">
      <c r="A91" t="s">
        <v>111</v>
      </c>
      <c r="B91">
        <v>-1000</v>
      </c>
      <c r="C91">
        <v>1000</v>
      </c>
    </row>
    <row r="92" spans="1:3" x14ac:dyDescent="0.25">
      <c r="A92" t="s">
        <v>112</v>
      </c>
      <c r="B92">
        <v>-1000</v>
      </c>
      <c r="C92">
        <v>1000</v>
      </c>
    </row>
    <row r="93" spans="1:3" x14ac:dyDescent="0.25">
      <c r="A93" t="s">
        <v>113</v>
      </c>
      <c r="B93">
        <v>-1000</v>
      </c>
      <c r="C93">
        <v>1000</v>
      </c>
    </row>
    <row r="94" spans="1:3" x14ac:dyDescent="0.25">
      <c r="A94" t="s">
        <v>114</v>
      </c>
      <c r="B94">
        <v>-1000</v>
      </c>
      <c r="C94">
        <v>1000</v>
      </c>
    </row>
    <row r="95" spans="1:3" x14ac:dyDescent="0.25">
      <c r="A95" t="s">
        <v>115</v>
      </c>
      <c r="B95">
        <v>-1000</v>
      </c>
      <c r="C95">
        <v>1000</v>
      </c>
    </row>
    <row r="96" spans="1:3" x14ac:dyDescent="0.25">
      <c r="A96" t="s">
        <v>116</v>
      </c>
      <c r="B96">
        <v>-1000</v>
      </c>
      <c r="C96">
        <v>1000</v>
      </c>
    </row>
    <row r="97" spans="1:3" x14ac:dyDescent="0.25">
      <c r="A97" t="s">
        <v>117</v>
      </c>
      <c r="B97">
        <v>-1000</v>
      </c>
      <c r="C97">
        <v>1000</v>
      </c>
    </row>
    <row r="98" spans="1:3" x14ac:dyDescent="0.25">
      <c r="A98" t="s">
        <v>118</v>
      </c>
      <c r="B98">
        <v>-1000</v>
      </c>
      <c r="C98">
        <v>1000</v>
      </c>
    </row>
    <row r="99" spans="1:3" x14ac:dyDescent="0.25">
      <c r="A99" t="s">
        <v>119</v>
      </c>
      <c r="B99">
        <v>-1000</v>
      </c>
      <c r="C99">
        <v>1000</v>
      </c>
    </row>
    <row r="100" spans="1:3" x14ac:dyDescent="0.25">
      <c r="A100" t="s">
        <v>120</v>
      </c>
      <c r="B100">
        <v>-1000</v>
      </c>
      <c r="C100">
        <v>1000</v>
      </c>
    </row>
    <row r="101" spans="1:3" x14ac:dyDescent="0.25">
      <c r="A101" t="s">
        <v>121</v>
      </c>
      <c r="B101">
        <v>-1000</v>
      </c>
      <c r="C101">
        <v>1000</v>
      </c>
    </row>
    <row r="102" spans="1:3" x14ac:dyDescent="0.25">
      <c r="A102" t="s">
        <v>122</v>
      </c>
      <c r="B102">
        <v>-1000</v>
      </c>
      <c r="C102">
        <v>1000</v>
      </c>
    </row>
    <row r="103" spans="1:3" x14ac:dyDescent="0.25">
      <c r="A103" t="s">
        <v>123</v>
      </c>
      <c r="B103">
        <v>-1000</v>
      </c>
      <c r="C103">
        <v>1000</v>
      </c>
    </row>
    <row r="104" spans="1:3" x14ac:dyDescent="0.25">
      <c r="A104" t="s">
        <v>124</v>
      </c>
      <c r="B104">
        <v>-1000</v>
      </c>
      <c r="C104">
        <v>1000</v>
      </c>
    </row>
    <row r="105" spans="1:3" x14ac:dyDescent="0.25">
      <c r="A105" t="s">
        <v>332</v>
      </c>
      <c r="B105">
        <v>-1000</v>
      </c>
      <c r="C105">
        <v>1000</v>
      </c>
    </row>
    <row r="106" spans="1:3" x14ac:dyDescent="0.25">
      <c r="A106" t="s">
        <v>333</v>
      </c>
      <c r="B106">
        <v>-1000</v>
      </c>
      <c r="C106">
        <v>1000</v>
      </c>
    </row>
    <row r="107" spans="1:3" x14ac:dyDescent="0.25">
      <c r="A107" t="s">
        <v>125</v>
      </c>
      <c r="B107">
        <v>-1000</v>
      </c>
      <c r="C107">
        <v>1000</v>
      </c>
    </row>
    <row r="108" spans="1:3" x14ac:dyDescent="0.25">
      <c r="A108" t="s">
        <v>126</v>
      </c>
      <c r="B108">
        <v>-1000</v>
      </c>
      <c r="C108">
        <v>1000</v>
      </c>
    </row>
    <row r="109" spans="1:3" x14ac:dyDescent="0.25">
      <c r="A109" t="s">
        <v>127</v>
      </c>
      <c r="B109">
        <v>-1000</v>
      </c>
      <c r="C109">
        <v>1000</v>
      </c>
    </row>
    <row r="110" spans="1:3" x14ac:dyDescent="0.25">
      <c r="A110" t="s">
        <v>128</v>
      </c>
      <c r="B110">
        <v>-1000</v>
      </c>
      <c r="C110">
        <v>1000</v>
      </c>
    </row>
    <row r="111" spans="1:3" x14ac:dyDescent="0.25">
      <c r="A111" t="s">
        <v>129</v>
      </c>
      <c r="B111">
        <v>-1000</v>
      </c>
      <c r="C111">
        <v>1000</v>
      </c>
    </row>
    <row r="112" spans="1:3" x14ac:dyDescent="0.25">
      <c r="A112" t="s">
        <v>130</v>
      </c>
      <c r="B112">
        <v>-1000</v>
      </c>
      <c r="C112">
        <v>1000</v>
      </c>
    </row>
    <row r="113" spans="1:3" x14ac:dyDescent="0.25">
      <c r="A113" t="s">
        <v>364</v>
      </c>
      <c r="B113">
        <v>-1000</v>
      </c>
      <c r="C113">
        <v>1000</v>
      </c>
    </row>
    <row r="114" spans="1:3" x14ac:dyDescent="0.25">
      <c r="A114" t="s">
        <v>131</v>
      </c>
      <c r="B114">
        <v>-1000</v>
      </c>
      <c r="C114">
        <v>1000</v>
      </c>
    </row>
    <row r="115" spans="1:3" x14ac:dyDescent="0.25">
      <c r="A115" t="s">
        <v>132</v>
      </c>
      <c r="B115">
        <v>-1000</v>
      </c>
      <c r="C115">
        <v>1000</v>
      </c>
    </row>
    <row r="116" spans="1:3" x14ac:dyDescent="0.25">
      <c r="A116" t="s">
        <v>334</v>
      </c>
      <c r="B116">
        <v>-1000</v>
      </c>
      <c r="C116">
        <v>1000</v>
      </c>
    </row>
    <row r="117" spans="1:3" x14ac:dyDescent="0.25">
      <c r="A117" t="s">
        <v>133</v>
      </c>
      <c r="B117">
        <v>-1000</v>
      </c>
      <c r="C117">
        <v>1000</v>
      </c>
    </row>
    <row r="118" spans="1:3" x14ac:dyDescent="0.25">
      <c r="A118" t="s">
        <v>135</v>
      </c>
      <c r="B118">
        <v>-1000</v>
      </c>
      <c r="C118">
        <v>1000</v>
      </c>
    </row>
    <row r="119" spans="1:3" x14ac:dyDescent="0.25">
      <c r="A119" t="s">
        <v>136</v>
      </c>
      <c r="B119">
        <v>-1000</v>
      </c>
      <c r="C119">
        <v>1000</v>
      </c>
    </row>
    <row r="120" spans="1:3" x14ac:dyDescent="0.25">
      <c r="A120" t="s">
        <v>137</v>
      </c>
      <c r="B120">
        <v>-1000</v>
      </c>
      <c r="C120">
        <v>1000</v>
      </c>
    </row>
    <row r="121" spans="1:3" x14ac:dyDescent="0.25">
      <c r="A121" t="s">
        <v>138</v>
      </c>
      <c r="B121">
        <v>-1000</v>
      </c>
      <c r="C121">
        <v>1000</v>
      </c>
    </row>
    <row r="122" spans="1:3" x14ac:dyDescent="0.25">
      <c r="A122" t="s">
        <v>139</v>
      </c>
      <c r="B122">
        <v>-1000</v>
      </c>
      <c r="C122">
        <v>1000</v>
      </c>
    </row>
    <row r="123" spans="1:3" x14ac:dyDescent="0.25">
      <c r="A123" t="s">
        <v>140</v>
      </c>
      <c r="B123">
        <v>-1000</v>
      </c>
      <c r="C123">
        <v>1000</v>
      </c>
    </row>
    <row r="124" spans="1:3" x14ac:dyDescent="0.25">
      <c r="A124" t="s">
        <v>141</v>
      </c>
      <c r="B124">
        <v>-1000</v>
      </c>
      <c r="C124">
        <v>1000</v>
      </c>
    </row>
    <row r="125" spans="1:3" x14ac:dyDescent="0.25">
      <c r="A125" t="s">
        <v>142</v>
      </c>
      <c r="B125">
        <v>-1000</v>
      </c>
      <c r="C125">
        <v>1000</v>
      </c>
    </row>
    <row r="126" spans="1:3" x14ac:dyDescent="0.25">
      <c r="A126" t="s">
        <v>367</v>
      </c>
      <c r="B126">
        <v>0</v>
      </c>
      <c r="C126">
        <v>0</v>
      </c>
    </row>
    <row r="127" spans="1:3" x14ac:dyDescent="0.25">
      <c r="A127" t="s">
        <v>368</v>
      </c>
      <c r="B127">
        <v>0</v>
      </c>
      <c r="C127">
        <v>0</v>
      </c>
    </row>
    <row r="128" spans="1:3" x14ac:dyDescent="0.25">
      <c r="A128" t="s">
        <v>143</v>
      </c>
      <c r="B128">
        <v>-1000</v>
      </c>
      <c r="C128">
        <v>1000</v>
      </c>
    </row>
    <row r="129" spans="1:3" x14ac:dyDescent="0.25">
      <c r="A129" t="s">
        <v>366</v>
      </c>
      <c r="B129">
        <v>-1000</v>
      </c>
      <c r="C129">
        <v>1000</v>
      </c>
    </row>
    <row r="130" spans="1:3" x14ac:dyDescent="0.25">
      <c r="A130" t="s">
        <v>145</v>
      </c>
      <c r="B130">
        <v>-1000</v>
      </c>
      <c r="C130">
        <v>1000</v>
      </c>
    </row>
    <row r="131" spans="1:3" x14ac:dyDescent="0.25">
      <c r="A131" t="s">
        <v>146</v>
      </c>
      <c r="B131">
        <v>0</v>
      </c>
      <c r="C131">
        <v>1000</v>
      </c>
    </row>
    <row r="132" spans="1:3" x14ac:dyDescent="0.25">
      <c r="A132" t="s">
        <v>147</v>
      </c>
      <c r="B132">
        <v>0</v>
      </c>
      <c r="C132">
        <v>1000</v>
      </c>
    </row>
    <row r="133" spans="1:3" x14ac:dyDescent="0.25">
      <c r="A133" t="s">
        <v>148</v>
      </c>
      <c r="B133">
        <v>-1000</v>
      </c>
      <c r="C133">
        <v>1000</v>
      </c>
    </row>
    <row r="134" spans="1:3" x14ac:dyDescent="0.25">
      <c r="A134" t="s">
        <v>149</v>
      </c>
      <c r="B134">
        <v>-1000</v>
      </c>
      <c r="C134">
        <v>1000</v>
      </c>
    </row>
    <row r="135" spans="1:3" x14ac:dyDescent="0.25">
      <c r="A135" t="s">
        <v>361</v>
      </c>
      <c r="B135">
        <v>0</v>
      </c>
      <c r="C135">
        <v>0</v>
      </c>
    </row>
    <row r="136" spans="1:3" x14ac:dyDescent="0.25">
      <c r="A136" t="s">
        <v>362</v>
      </c>
      <c r="B136">
        <v>0</v>
      </c>
      <c r="C136">
        <v>1000</v>
      </c>
    </row>
    <row r="137" spans="1:3" x14ac:dyDescent="0.25">
      <c r="A137" t="s">
        <v>151</v>
      </c>
      <c r="B137">
        <v>-1000</v>
      </c>
      <c r="C137">
        <v>1000</v>
      </c>
    </row>
    <row r="138" spans="1:3" x14ac:dyDescent="0.25">
      <c r="A138" t="s">
        <v>152</v>
      </c>
      <c r="B138">
        <v>-1000</v>
      </c>
      <c r="C138">
        <v>1000</v>
      </c>
    </row>
    <row r="139" spans="1:3" x14ac:dyDescent="0.25">
      <c r="A139" t="s">
        <v>153</v>
      </c>
      <c r="B139">
        <v>-1000</v>
      </c>
      <c r="C139">
        <v>1000</v>
      </c>
    </row>
    <row r="140" spans="1:3" x14ac:dyDescent="0.25">
      <c r="A140" t="s">
        <v>154</v>
      </c>
      <c r="B140">
        <v>-1000</v>
      </c>
      <c r="C140">
        <v>1000</v>
      </c>
    </row>
    <row r="141" spans="1:3" x14ac:dyDescent="0.25">
      <c r="A141" t="s">
        <v>144</v>
      </c>
      <c r="B141">
        <v>0</v>
      </c>
      <c r="C141">
        <v>1000</v>
      </c>
    </row>
    <row r="142" spans="1:3" x14ac:dyDescent="0.25">
      <c r="A142" t="s">
        <v>155</v>
      </c>
      <c r="B142">
        <v>-1000</v>
      </c>
      <c r="C142">
        <v>1000</v>
      </c>
    </row>
    <row r="143" spans="1:3" x14ac:dyDescent="0.25">
      <c r="A143" t="s">
        <v>156</v>
      </c>
      <c r="B143">
        <v>-1000</v>
      </c>
      <c r="C143">
        <v>1000</v>
      </c>
    </row>
    <row r="144" spans="1:3" x14ac:dyDescent="0.25">
      <c r="A144" t="s">
        <v>157</v>
      </c>
      <c r="B144">
        <v>-1000</v>
      </c>
      <c r="C144">
        <v>1000</v>
      </c>
    </row>
    <row r="145" spans="1:3" x14ac:dyDescent="0.25">
      <c r="A145" t="s">
        <v>158</v>
      </c>
      <c r="B145">
        <v>-1000</v>
      </c>
      <c r="C145">
        <v>1000</v>
      </c>
    </row>
    <row r="146" spans="1:3" x14ac:dyDescent="0.25">
      <c r="A146" t="s">
        <v>159</v>
      </c>
      <c r="B146">
        <v>-1000</v>
      </c>
      <c r="C146">
        <v>1000</v>
      </c>
    </row>
    <row r="147" spans="1:3" x14ac:dyDescent="0.25">
      <c r="A147" t="s">
        <v>385</v>
      </c>
      <c r="B147">
        <v>-1000</v>
      </c>
      <c r="C147">
        <v>1000</v>
      </c>
    </row>
    <row r="148" spans="1:3" x14ac:dyDescent="0.25">
      <c r="A148" t="s">
        <v>160</v>
      </c>
      <c r="B148">
        <v>-1000</v>
      </c>
      <c r="C148">
        <v>1000</v>
      </c>
    </row>
    <row r="149" spans="1:3" x14ac:dyDescent="0.25">
      <c r="A149" t="s">
        <v>161</v>
      </c>
      <c r="B149">
        <v>-1000</v>
      </c>
      <c r="C149">
        <v>1000</v>
      </c>
    </row>
    <row r="150" spans="1:3" x14ac:dyDescent="0.25">
      <c r="A150" t="s">
        <v>162</v>
      </c>
      <c r="B150">
        <v>-1000</v>
      </c>
      <c r="C150">
        <v>1000</v>
      </c>
    </row>
    <row r="151" spans="1:3" x14ac:dyDescent="0.25">
      <c r="A151" t="s">
        <v>163</v>
      </c>
      <c r="B151">
        <v>-1000</v>
      </c>
      <c r="C151">
        <v>1000</v>
      </c>
    </row>
    <row r="152" spans="1:3" x14ac:dyDescent="0.25">
      <c r="A152" t="s">
        <v>164</v>
      </c>
      <c r="B152">
        <v>-1000</v>
      </c>
      <c r="C152">
        <v>1000</v>
      </c>
    </row>
    <row r="153" spans="1:3" x14ac:dyDescent="0.25">
      <c r="A153" t="s">
        <v>165</v>
      </c>
      <c r="B153">
        <v>-1000</v>
      </c>
      <c r="C153">
        <v>1000</v>
      </c>
    </row>
    <row r="154" spans="1:3" x14ac:dyDescent="0.25">
      <c r="A154" t="s">
        <v>166</v>
      </c>
      <c r="B154">
        <v>-1000</v>
      </c>
      <c r="C154">
        <v>1000</v>
      </c>
    </row>
    <row r="155" spans="1:3" x14ac:dyDescent="0.25">
      <c r="A155" t="s">
        <v>167</v>
      </c>
      <c r="B155">
        <v>-1000</v>
      </c>
      <c r="C155">
        <v>1000</v>
      </c>
    </row>
    <row r="156" spans="1:3" x14ac:dyDescent="0.25">
      <c r="A156" t="s">
        <v>335</v>
      </c>
      <c r="B156">
        <v>-1000</v>
      </c>
      <c r="C156">
        <v>1000</v>
      </c>
    </row>
    <row r="157" spans="1:3" x14ac:dyDescent="0.25">
      <c r="A157" t="s">
        <v>168</v>
      </c>
      <c r="B157">
        <v>-1000</v>
      </c>
      <c r="C157">
        <v>1000</v>
      </c>
    </row>
    <row r="158" spans="1:3" x14ac:dyDescent="0.25">
      <c r="A158" t="s">
        <v>169</v>
      </c>
      <c r="B158">
        <v>-1000</v>
      </c>
      <c r="C158">
        <v>1000</v>
      </c>
    </row>
    <row r="159" spans="1:3" x14ac:dyDescent="0.25">
      <c r="A159" t="s">
        <v>170</v>
      </c>
      <c r="B159">
        <v>-1000</v>
      </c>
      <c r="C159">
        <v>1000</v>
      </c>
    </row>
    <row r="160" spans="1:3" x14ac:dyDescent="0.25">
      <c r="A160" t="s">
        <v>171</v>
      </c>
      <c r="B160">
        <v>-1000</v>
      </c>
      <c r="C160">
        <v>1000</v>
      </c>
    </row>
    <row r="161" spans="1:3" x14ac:dyDescent="0.25">
      <c r="A161" t="s">
        <v>173</v>
      </c>
      <c r="B161">
        <v>-1000</v>
      </c>
      <c r="C161">
        <v>1000</v>
      </c>
    </row>
    <row r="162" spans="1:3" x14ac:dyDescent="0.25">
      <c r="A162" t="s">
        <v>174</v>
      </c>
      <c r="B162">
        <v>-1000</v>
      </c>
      <c r="C162">
        <v>1000</v>
      </c>
    </row>
    <row r="163" spans="1:3" x14ac:dyDescent="0.25">
      <c r="A163" t="s">
        <v>175</v>
      </c>
      <c r="B163">
        <v>-1000</v>
      </c>
      <c r="C163">
        <v>1000</v>
      </c>
    </row>
    <row r="164" spans="1:3" x14ac:dyDescent="0.25">
      <c r="A164" t="s">
        <v>435</v>
      </c>
      <c r="B164">
        <v>-1000</v>
      </c>
      <c r="C164">
        <v>1000</v>
      </c>
    </row>
    <row r="165" spans="1:3" x14ac:dyDescent="0.25">
      <c r="A165" t="s">
        <v>176</v>
      </c>
      <c r="B165">
        <v>-1000</v>
      </c>
      <c r="C165">
        <v>1000</v>
      </c>
    </row>
    <row r="166" spans="1:3" x14ac:dyDescent="0.25">
      <c r="A166" t="s">
        <v>177</v>
      </c>
      <c r="B166">
        <v>-1000</v>
      </c>
      <c r="C166">
        <v>1000</v>
      </c>
    </row>
    <row r="167" spans="1:3" x14ac:dyDescent="0.25">
      <c r="A167" t="s">
        <v>363</v>
      </c>
      <c r="B167">
        <v>0</v>
      </c>
      <c r="C167">
        <v>0</v>
      </c>
    </row>
    <row r="168" spans="1:3" x14ac:dyDescent="0.25">
      <c r="A168" t="s">
        <v>336</v>
      </c>
      <c r="B168">
        <v>-1000</v>
      </c>
      <c r="C168">
        <v>1000</v>
      </c>
    </row>
    <row r="169" spans="1:3" x14ac:dyDescent="0.25">
      <c r="A169" t="s">
        <v>360</v>
      </c>
      <c r="B169">
        <v>100</v>
      </c>
      <c r="C169">
        <v>100</v>
      </c>
    </row>
    <row r="170" spans="1:3" x14ac:dyDescent="0.25">
      <c r="A170" t="s">
        <v>178</v>
      </c>
      <c r="B170">
        <f>val!C7</f>
        <v>194.96583861362987</v>
      </c>
      <c r="C170">
        <f>val!C7</f>
        <v>194.96583861362987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7999F-9644-4305-8723-B16092757912}">
  <dimension ref="A1:C170"/>
  <sheetViews>
    <sheetView topLeftCell="A25" workbookViewId="0">
      <selection activeCell="A37" sqref="A37"/>
    </sheetView>
  </sheetViews>
  <sheetFormatPr defaultRowHeight="15" x14ac:dyDescent="0.25"/>
  <cols>
    <col min="1" max="1" width="18.5703125" bestFit="1" customWidth="1"/>
  </cols>
  <sheetData>
    <row r="1" spans="1:3" x14ac:dyDescent="0.25">
      <c r="A1" t="s">
        <v>5</v>
      </c>
      <c r="B1" t="s">
        <v>352</v>
      </c>
      <c r="C1" t="s">
        <v>353</v>
      </c>
    </row>
    <row r="2" spans="1:3" x14ac:dyDescent="0.25">
      <c r="A2" t="s">
        <v>39</v>
      </c>
      <c r="B2">
        <v>-1000</v>
      </c>
      <c r="C2">
        <v>1000</v>
      </c>
    </row>
    <row r="3" spans="1:3" x14ac:dyDescent="0.25">
      <c r="A3" t="s">
        <v>359</v>
      </c>
      <c r="B3">
        <v>0</v>
      </c>
      <c r="C3">
        <v>0</v>
      </c>
    </row>
    <row r="4" spans="1:3" x14ac:dyDescent="0.25">
      <c r="A4" t="s">
        <v>386</v>
      </c>
      <c r="B4">
        <v>0</v>
      </c>
      <c r="C4">
        <v>0</v>
      </c>
    </row>
    <row r="5" spans="1:3" x14ac:dyDescent="0.25">
      <c r="A5" t="s">
        <v>358</v>
      </c>
      <c r="B5">
        <v>-1000</v>
      </c>
      <c r="C5">
        <v>1000</v>
      </c>
    </row>
    <row r="6" spans="1:3" x14ac:dyDescent="0.25">
      <c r="A6" t="s">
        <v>40</v>
      </c>
      <c r="B6">
        <v>-1000</v>
      </c>
      <c r="C6">
        <v>1000</v>
      </c>
    </row>
    <row r="7" spans="1:3" x14ac:dyDescent="0.25">
      <c r="A7" t="s">
        <v>41</v>
      </c>
      <c r="B7">
        <v>-1000</v>
      </c>
      <c r="C7">
        <v>1000</v>
      </c>
    </row>
    <row r="8" spans="1:3" x14ac:dyDescent="0.25">
      <c r="A8" t="s">
        <v>42</v>
      </c>
      <c r="B8">
        <v>-1000</v>
      </c>
      <c r="C8">
        <v>1000</v>
      </c>
    </row>
    <row r="9" spans="1:3" x14ac:dyDescent="0.25">
      <c r="A9" t="s">
        <v>43</v>
      </c>
      <c r="B9">
        <v>-1000</v>
      </c>
      <c r="C9">
        <v>1000</v>
      </c>
    </row>
    <row r="10" spans="1:3" x14ac:dyDescent="0.25">
      <c r="A10" t="s">
        <v>44</v>
      </c>
      <c r="B10">
        <v>-1000</v>
      </c>
      <c r="C10">
        <v>1000</v>
      </c>
    </row>
    <row r="11" spans="1:3" x14ac:dyDescent="0.25">
      <c r="A11" t="s">
        <v>45</v>
      </c>
      <c r="B11">
        <v>0</v>
      </c>
      <c r="C11">
        <v>0</v>
      </c>
    </row>
    <row r="12" spans="1:3" x14ac:dyDescent="0.25">
      <c r="A12" t="s">
        <v>324</v>
      </c>
      <c r="B12">
        <v>0</v>
      </c>
      <c r="C12">
        <v>1000</v>
      </c>
    </row>
    <row r="13" spans="1:3" x14ac:dyDescent="0.25">
      <c r="A13" t="s">
        <v>371</v>
      </c>
      <c r="B13">
        <v>-1000</v>
      </c>
      <c r="C13">
        <v>1000</v>
      </c>
    </row>
    <row r="14" spans="1:3" x14ac:dyDescent="0.25">
      <c r="A14" t="s">
        <v>371</v>
      </c>
      <c r="B14">
        <v>-1000</v>
      </c>
      <c r="C14">
        <v>1000</v>
      </c>
    </row>
    <row r="15" spans="1:3" x14ac:dyDescent="0.25">
      <c r="A15" t="s">
        <v>46</v>
      </c>
      <c r="B15">
        <v>-1000</v>
      </c>
      <c r="C15">
        <v>1000</v>
      </c>
    </row>
    <row r="16" spans="1:3" x14ac:dyDescent="0.25">
      <c r="A16" t="s">
        <v>47</v>
      </c>
      <c r="B16">
        <v>-1000</v>
      </c>
      <c r="C16">
        <v>1000</v>
      </c>
    </row>
    <row r="17" spans="1:3" x14ac:dyDescent="0.25">
      <c r="A17" t="s">
        <v>48</v>
      </c>
      <c r="B17">
        <v>-1000</v>
      </c>
      <c r="C17">
        <v>1000</v>
      </c>
    </row>
    <row r="18" spans="1:3" x14ac:dyDescent="0.25">
      <c r="A18" t="s">
        <v>49</v>
      </c>
      <c r="B18">
        <v>-1000</v>
      </c>
      <c r="C18">
        <v>1000</v>
      </c>
    </row>
    <row r="19" spans="1:3" x14ac:dyDescent="0.25">
      <c r="A19" t="s">
        <v>50</v>
      </c>
      <c r="B19">
        <v>-1000</v>
      </c>
      <c r="C19">
        <v>1000</v>
      </c>
    </row>
    <row r="20" spans="1:3" x14ac:dyDescent="0.25">
      <c r="A20" t="s">
        <v>51</v>
      </c>
      <c r="B20">
        <v>-1000</v>
      </c>
      <c r="C20">
        <v>1000</v>
      </c>
    </row>
    <row r="21" spans="1:3" x14ac:dyDescent="0.25">
      <c r="A21" t="s">
        <v>52</v>
      </c>
      <c r="B21">
        <v>-1000</v>
      </c>
      <c r="C21">
        <v>1000</v>
      </c>
    </row>
    <row r="22" spans="1:3" x14ac:dyDescent="0.25">
      <c r="A22" t="s">
        <v>53</v>
      </c>
      <c r="B22">
        <v>-1000</v>
      </c>
      <c r="C22">
        <v>1000</v>
      </c>
    </row>
    <row r="23" spans="1:3" x14ac:dyDescent="0.25">
      <c r="A23" t="s">
        <v>54</v>
      </c>
      <c r="B23">
        <v>-1000</v>
      </c>
      <c r="C23">
        <v>1000</v>
      </c>
    </row>
    <row r="24" spans="1:3" x14ac:dyDescent="0.25">
      <c r="A24" t="s">
        <v>55</v>
      </c>
      <c r="B24">
        <v>-1000</v>
      </c>
      <c r="C24">
        <v>1000</v>
      </c>
    </row>
    <row r="25" spans="1:3" x14ac:dyDescent="0.25">
      <c r="A25" t="s">
        <v>56</v>
      </c>
      <c r="B25">
        <v>-1000</v>
      </c>
      <c r="C25">
        <v>1000</v>
      </c>
    </row>
    <row r="26" spans="1:3" x14ac:dyDescent="0.25">
      <c r="A26" t="s">
        <v>57</v>
      </c>
      <c r="B26">
        <v>-1000</v>
      </c>
      <c r="C26">
        <v>1000</v>
      </c>
    </row>
    <row r="27" spans="1:3" x14ac:dyDescent="0.25">
      <c r="A27" t="s">
        <v>58</v>
      </c>
      <c r="B27">
        <v>-1000</v>
      </c>
      <c r="C27">
        <v>1000</v>
      </c>
    </row>
    <row r="28" spans="1:3" x14ac:dyDescent="0.25">
      <c r="A28" t="s">
        <v>59</v>
      </c>
      <c r="B28">
        <v>-1000</v>
      </c>
      <c r="C28">
        <v>1000</v>
      </c>
    </row>
    <row r="29" spans="1:3" x14ac:dyDescent="0.25">
      <c r="A29" t="s">
        <v>325</v>
      </c>
      <c r="B29">
        <v>-1000</v>
      </c>
      <c r="C29">
        <v>1000</v>
      </c>
    </row>
    <row r="30" spans="1:3" x14ac:dyDescent="0.25">
      <c r="A30" t="s">
        <v>60</v>
      </c>
      <c r="B30">
        <v>-1000</v>
      </c>
      <c r="C30">
        <v>1000</v>
      </c>
    </row>
    <row r="31" spans="1:3" x14ac:dyDescent="0.25">
      <c r="A31" t="s">
        <v>61</v>
      </c>
      <c r="B31">
        <v>-1000</v>
      </c>
      <c r="C31">
        <v>1000</v>
      </c>
    </row>
    <row r="32" spans="1:3" x14ac:dyDescent="0.25">
      <c r="A32" t="s">
        <v>62</v>
      </c>
      <c r="B32">
        <v>-1000</v>
      </c>
      <c r="C32">
        <v>1000</v>
      </c>
    </row>
    <row r="33" spans="1:3" x14ac:dyDescent="0.25">
      <c r="A33" t="s">
        <v>63</v>
      </c>
      <c r="B33">
        <v>-1000</v>
      </c>
      <c r="C33">
        <v>1000</v>
      </c>
    </row>
    <row r="34" spans="1:3" x14ac:dyDescent="0.25">
      <c r="A34" t="s">
        <v>64</v>
      </c>
      <c r="B34">
        <v>-1000</v>
      </c>
      <c r="C34">
        <v>1000</v>
      </c>
    </row>
    <row r="35" spans="1:3" x14ac:dyDescent="0.25">
      <c r="A35" t="s">
        <v>65</v>
      </c>
      <c r="B35">
        <v>-1000</v>
      </c>
      <c r="C35">
        <v>1000</v>
      </c>
    </row>
    <row r="36" spans="1:3" x14ac:dyDescent="0.25">
      <c r="A36" t="s">
        <v>66</v>
      </c>
      <c r="B36">
        <v>-1000</v>
      </c>
      <c r="C36">
        <v>1000</v>
      </c>
    </row>
    <row r="37" spans="1:3" x14ac:dyDescent="0.25">
      <c r="A37" t="s">
        <v>442</v>
      </c>
      <c r="B37">
        <v>-1000</v>
      </c>
      <c r="C37">
        <v>1000</v>
      </c>
    </row>
    <row r="38" spans="1:3" x14ac:dyDescent="0.25">
      <c r="A38" t="s">
        <v>438</v>
      </c>
      <c r="B38">
        <v>0</v>
      </c>
      <c r="C38">
        <v>0</v>
      </c>
    </row>
    <row r="39" spans="1:3" x14ac:dyDescent="0.25">
      <c r="A39" t="s">
        <v>326</v>
      </c>
      <c r="B39">
        <v>-1000</v>
      </c>
      <c r="C39">
        <v>1000</v>
      </c>
    </row>
    <row r="40" spans="1:3" x14ac:dyDescent="0.25">
      <c r="A40" t="s">
        <v>369</v>
      </c>
      <c r="B40">
        <v>-1000</v>
      </c>
      <c r="C40">
        <v>1000</v>
      </c>
    </row>
    <row r="41" spans="1:3" x14ac:dyDescent="0.25">
      <c r="A41" t="s">
        <v>67</v>
      </c>
      <c r="B41">
        <v>-1000</v>
      </c>
      <c r="C41">
        <v>1000</v>
      </c>
    </row>
    <row r="42" spans="1:3" x14ac:dyDescent="0.25">
      <c r="A42" t="s">
        <v>327</v>
      </c>
      <c r="B42">
        <v>-1000</v>
      </c>
      <c r="C42">
        <v>1000</v>
      </c>
    </row>
    <row r="43" spans="1:3" x14ac:dyDescent="0.25">
      <c r="A43" t="s">
        <v>68</v>
      </c>
      <c r="B43">
        <v>-1000</v>
      </c>
      <c r="C43">
        <v>1000</v>
      </c>
    </row>
    <row r="44" spans="1:3" x14ac:dyDescent="0.25">
      <c r="A44" t="s">
        <v>69</v>
      </c>
      <c r="B44">
        <v>-1000</v>
      </c>
      <c r="C44">
        <v>1000</v>
      </c>
    </row>
    <row r="45" spans="1:3" x14ac:dyDescent="0.25">
      <c r="A45" t="s">
        <v>70</v>
      </c>
      <c r="B45">
        <v>0</v>
      </c>
      <c r="C45">
        <v>0</v>
      </c>
    </row>
    <row r="46" spans="1:3" x14ac:dyDescent="0.25">
      <c r="A46" t="s">
        <v>71</v>
      </c>
      <c r="B46">
        <v>-1000</v>
      </c>
      <c r="C46">
        <v>1000</v>
      </c>
    </row>
    <row r="47" spans="1:3" x14ac:dyDescent="0.25">
      <c r="A47" t="s">
        <v>72</v>
      </c>
      <c r="B47">
        <v>-1000</v>
      </c>
      <c r="C47">
        <v>1000</v>
      </c>
    </row>
    <row r="48" spans="1:3" x14ac:dyDescent="0.25">
      <c r="A48" t="s">
        <v>73</v>
      </c>
      <c r="B48">
        <v>-1000</v>
      </c>
      <c r="C48">
        <v>1000</v>
      </c>
    </row>
    <row r="49" spans="1:3" x14ac:dyDescent="0.25">
      <c r="A49" t="s">
        <v>74</v>
      </c>
      <c r="B49">
        <v>-1000</v>
      </c>
      <c r="C49">
        <v>1000</v>
      </c>
    </row>
    <row r="50" spans="1:3" x14ac:dyDescent="0.25">
      <c r="A50" t="s">
        <v>75</v>
      </c>
      <c r="B50">
        <v>-1000</v>
      </c>
      <c r="C50">
        <v>1000</v>
      </c>
    </row>
    <row r="51" spans="1:3" x14ac:dyDescent="0.25">
      <c r="A51" t="s">
        <v>76</v>
      </c>
      <c r="B51">
        <v>-1000</v>
      </c>
      <c r="C51">
        <v>1000</v>
      </c>
    </row>
    <row r="52" spans="1:3" x14ac:dyDescent="0.25">
      <c r="A52" t="s">
        <v>77</v>
      </c>
      <c r="B52">
        <v>-1000</v>
      </c>
      <c r="C52">
        <v>1000</v>
      </c>
    </row>
    <row r="53" spans="1:3" x14ac:dyDescent="0.25">
      <c r="A53" t="s">
        <v>78</v>
      </c>
      <c r="B53">
        <v>-1000</v>
      </c>
      <c r="C53">
        <v>1000</v>
      </c>
    </row>
    <row r="54" spans="1:3" x14ac:dyDescent="0.25">
      <c r="A54" t="s">
        <v>79</v>
      </c>
      <c r="B54">
        <v>-1000</v>
      </c>
      <c r="C54">
        <v>1000</v>
      </c>
    </row>
    <row r="55" spans="1:3" x14ac:dyDescent="0.25">
      <c r="A55" t="s">
        <v>80</v>
      </c>
      <c r="B55">
        <v>-1000</v>
      </c>
      <c r="C55">
        <v>1000</v>
      </c>
    </row>
    <row r="56" spans="1:3" x14ac:dyDescent="0.25">
      <c r="A56" t="s">
        <v>81</v>
      </c>
      <c r="B56">
        <v>-1000</v>
      </c>
      <c r="C56">
        <v>1000</v>
      </c>
    </row>
    <row r="57" spans="1:3" x14ac:dyDescent="0.25">
      <c r="A57" t="s">
        <v>82</v>
      </c>
      <c r="B57">
        <v>-1000</v>
      </c>
      <c r="C57">
        <v>1000</v>
      </c>
    </row>
    <row r="58" spans="1:3" x14ac:dyDescent="0.25">
      <c r="A58" t="s">
        <v>83</v>
      </c>
      <c r="B58">
        <v>-1000</v>
      </c>
      <c r="C58">
        <v>1000</v>
      </c>
    </row>
    <row r="59" spans="1:3" x14ac:dyDescent="0.25">
      <c r="A59" t="s">
        <v>84</v>
      </c>
      <c r="B59">
        <v>-1000</v>
      </c>
      <c r="C59">
        <v>1000</v>
      </c>
    </row>
    <row r="60" spans="1:3" x14ac:dyDescent="0.25">
      <c r="A60" t="s">
        <v>365</v>
      </c>
      <c r="B60">
        <v>0</v>
      </c>
      <c r="C60">
        <v>0</v>
      </c>
    </row>
    <row r="61" spans="1:3" x14ac:dyDescent="0.25">
      <c r="A61" t="s">
        <v>328</v>
      </c>
      <c r="B61">
        <v>-1000</v>
      </c>
      <c r="C61">
        <v>1000</v>
      </c>
    </row>
    <row r="62" spans="1:3" x14ac:dyDescent="0.25">
      <c r="A62" t="s">
        <v>85</v>
      </c>
      <c r="B62">
        <v>-1000</v>
      </c>
      <c r="C62">
        <v>1000</v>
      </c>
    </row>
    <row r="63" spans="1:3" x14ac:dyDescent="0.25">
      <c r="A63" t="s">
        <v>86</v>
      </c>
      <c r="B63">
        <v>-1000</v>
      </c>
      <c r="C63">
        <v>1000</v>
      </c>
    </row>
    <row r="64" spans="1:3" x14ac:dyDescent="0.25">
      <c r="A64" t="s">
        <v>87</v>
      </c>
      <c r="B64">
        <v>-1000</v>
      </c>
      <c r="C64">
        <v>1000</v>
      </c>
    </row>
    <row r="65" spans="1:3" x14ac:dyDescent="0.25">
      <c r="A65" t="s">
        <v>88</v>
      </c>
      <c r="B65">
        <v>-1000</v>
      </c>
      <c r="C65">
        <v>1000</v>
      </c>
    </row>
    <row r="66" spans="1:3" x14ac:dyDescent="0.25">
      <c r="A66" t="s">
        <v>89</v>
      </c>
      <c r="B66">
        <v>-1000</v>
      </c>
      <c r="C66">
        <v>1000</v>
      </c>
    </row>
    <row r="67" spans="1:3" x14ac:dyDescent="0.25">
      <c r="A67" t="s">
        <v>90</v>
      </c>
      <c r="B67">
        <v>0</v>
      </c>
      <c r="C67">
        <v>1000</v>
      </c>
    </row>
    <row r="68" spans="1:3" x14ac:dyDescent="0.25">
      <c r="A68" t="s">
        <v>329</v>
      </c>
      <c r="B68">
        <v>-1000</v>
      </c>
      <c r="C68">
        <v>1000</v>
      </c>
    </row>
    <row r="69" spans="1:3" x14ac:dyDescent="0.25">
      <c r="A69" t="s">
        <v>91</v>
      </c>
      <c r="B69">
        <v>-1000</v>
      </c>
      <c r="C69">
        <v>1000</v>
      </c>
    </row>
    <row r="70" spans="1:3" x14ac:dyDescent="0.25">
      <c r="A70" t="s">
        <v>92</v>
      </c>
      <c r="B70">
        <v>-1000</v>
      </c>
      <c r="C70">
        <v>1000</v>
      </c>
    </row>
    <row r="71" spans="1:3" x14ac:dyDescent="0.25">
      <c r="A71" t="s">
        <v>93</v>
      </c>
      <c r="B71">
        <v>-1000</v>
      </c>
      <c r="C71">
        <v>1000</v>
      </c>
    </row>
    <row r="72" spans="1:3" x14ac:dyDescent="0.25">
      <c r="A72" t="s">
        <v>94</v>
      </c>
      <c r="B72">
        <v>-1000</v>
      </c>
      <c r="C72">
        <v>1000</v>
      </c>
    </row>
    <row r="73" spans="1:3" x14ac:dyDescent="0.25">
      <c r="A73" t="s">
        <v>330</v>
      </c>
      <c r="B73">
        <v>0</v>
      </c>
      <c r="C73">
        <v>1000</v>
      </c>
    </row>
    <row r="74" spans="1:3" x14ac:dyDescent="0.25">
      <c r="A74" t="s">
        <v>95</v>
      </c>
      <c r="B74">
        <v>-1000</v>
      </c>
      <c r="C74">
        <v>1000</v>
      </c>
    </row>
    <row r="75" spans="1:3" x14ac:dyDescent="0.25">
      <c r="A75" t="s">
        <v>331</v>
      </c>
      <c r="B75">
        <v>-1000</v>
      </c>
      <c r="C75">
        <v>1000</v>
      </c>
    </row>
    <row r="76" spans="1:3" x14ac:dyDescent="0.25">
      <c r="A76" t="s">
        <v>96</v>
      </c>
      <c r="B76">
        <v>-1000</v>
      </c>
      <c r="C76">
        <v>1000</v>
      </c>
    </row>
    <row r="77" spans="1:3" x14ac:dyDescent="0.25">
      <c r="A77" t="s">
        <v>97</v>
      </c>
      <c r="B77">
        <v>-1000</v>
      </c>
      <c r="C77">
        <v>1000</v>
      </c>
    </row>
    <row r="78" spans="1:3" x14ac:dyDescent="0.25">
      <c r="A78" t="s">
        <v>98</v>
      </c>
      <c r="B78">
        <v>-1000</v>
      </c>
      <c r="C78">
        <v>1000</v>
      </c>
    </row>
    <row r="79" spans="1:3" x14ac:dyDescent="0.25">
      <c r="A79" t="s">
        <v>99</v>
      </c>
      <c r="B79">
        <v>-1000</v>
      </c>
      <c r="C79">
        <v>1000</v>
      </c>
    </row>
    <row r="80" spans="1:3" x14ac:dyDescent="0.25">
      <c r="A80" t="s">
        <v>100</v>
      </c>
      <c r="B80">
        <v>-1000</v>
      </c>
      <c r="C80">
        <v>1000</v>
      </c>
    </row>
    <row r="81" spans="1:3" x14ac:dyDescent="0.25">
      <c r="A81" t="s">
        <v>101</v>
      </c>
      <c r="B81">
        <v>-1000</v>
      </c>
      <c r="C81">
        <v>1000</v>
      </c>
    </row>
    <row r="82" spans="1:3" x14ac:dyDescent="0.25">
      <c r="A82" t="s">
        <v>102</v>
      </c>
      <c r="B82">
        <v>-1000</v>
      </c>
      <c r="C82">
        <v>1000</v>
      </c>
    </row>
    <row r="83" spans="1:3" x14ac:dyDescent="0.25">
      <c r="A83" t="s">
        <v>103</v>
      </c>
      <c r="B83">
        <v>-1000</v>
      </c>
      <c r="C83">
        <v>1000</v>
      </c>
    </row>
    <row r="84" spans="1:3" x14ac:dyDescent="0.25">
      <c r="A84" t="s">
        <v>104</v>
      </c>
      <c r="B84">
        <v>-1000</v>
      </c>
      <c r="C84">
        <v>1000</v>
      </c>
    </row>
    <row r="85" spans="1:3" x14ac:dyDescent="0.25">
      <c r="A85" t="s">
        <v>105</v>
      </c>
      <c r="B85">
        <v>-1000</v>
      </c>
      <c r="C85">
        <v>1000</v>
      </c>
    </row>
    <row r="86" spans="1:3" x14ac:dyDescent="0.25">
      <c r="A86" t="s">
        <v>106</v>
      </c>
      <c r="B86">
        <v>-1000</v>
      </c>
      <c r="C86">
        <v>1000</v>
      </c>
    </row>
    <row r="87" spans="1:3" x14ac:dyDescent="0.25">
      <c r="A87" t="s">
        <v>107</v>
      </c>
      <c r="B87">
        <v>-1000</v>
      </c>
      <c r="C87">
        <v>1000</v>
      </c>
    </row>
    <row r="88" spans="1:3" x14ac:dyDescent="0.25">
      <c r="A88" t="s">
        <v>108</v>
      </c>
      <c r="B88">
        <v>-1000</v>
      </c>
      <c r="C88">
        <v>1000</v>
      </c>
    </row>
    <row r="89" spans="1:3" x14ac:dyDescent="0.25">
      <c r="A89" t="s">
        <v>109</v>
      </c>
      <c r="B89">
        <v>-1000</v>
      </c>
      <c r="C89">
        <v>1000</v>
      </c>
    </row>
    <row r="90" spans="1:3" x14ac:dyDescent="0.25">
      <c r="A90" t="s">
        <v>110</v>
      </c>
      <c r="B90">
        <v>-1000</v>
      </c>
      <c r="C90">
        <v>1000</v>
      </c>
    </row>
    <row r="91" spans="1:3" x14ac:dyDescent="0.25">
      <c r="A91" t="s">
        <v>111</v>
      </c>
      <c r="B91">
        <v>-1000</v>
      </c>
      <c r="C91">
        <v>1000</v>
      </c>
    </row>
    <row r="92" spans="1:3" x14ac:dyDescent="0.25">
      <c r="A92" t="s">
        <v>112</v>
      </c>
      <c r="B92">
        <v>-1000</v>
      </c>
      <c r="C92">
        <v>1000</v>
      </c>
    </row>
    <row r="93" spans="1:3" x14ac:dyDescent="0.25">
      <c r="A93" t="s">
        <v>113</v>
      </c>
      <c r="B93">
        <v>-1000</v>
      </c>
      <c r="C93">
        <v>1000</v>
      </c>
    </row>
    <row r="94" spans="1:3" x14ac:dyDescent="0.25">
      <c r="A94" t="s">
        <v>114</v>
      </c>
      <c r="B94">
        <v>-1000</v>
      </c>
      <c r="C94">
        <v>1000</v>
      </c>
    </row>
    <row r="95" spans="1:3" x14ac:dyDescent="0.25">
      <c r="A95" t="s">
        <v>115</v>
      </c>
      <c r="B95">
        <v>-1000</v>
      </c>
      <c r="C95">
        <v>1000</v>
      </c>
    </row>
    <row r="96" spans="1:3" x14ac:dyDescent="0.25">
      <c r="A96" t="s">
        <v>116</v>
      </c>
      <c r="B96">
        <v>-1000</v>
      </c>
      <c r="C96">
        <v>1000</v>
      </c>
    </row>
    <row r="97" spans="1:3" x14ac:dyDescent="0.25">
      <c r="A97" t="s">
        <v>117</v>
      </c>
      <c r="B97">
        <v>-1000</v>
      </c>
      <c r="C97">
        <v>1000</v>
      </c>
    </row>
    <row r="98" spans="1:3" x14ac:dyDescent="0.25">
      <c r="A98" t="s">
        <v>118</v>
      </c>
      <c r="B98">
        <v>-1000</v>
      </c>
      <c r="C98">
        <v>1000</v>
      </c>
    </row>
    <row r="99" spans="1:3" x14ac:dyDescent="0.25">
      <c r="A99" t="s">
        <v>119</v>
      </c>
      <c r="B99">
        <v>-1000</v>
      </c>
      <c r="C99">
        <v>1000</v>
      </c>
    </row>
    <row r="100" spans="1:3" x14ac:dyDescent="0.25">
      <c r="A100" t="s">
        <v>120</v>
      </c>
      <c r="B100">
        <v>-1000</v>
      </c>
      <c r="C100">
        <v>1000</v>
      </c>
    </row>
    <row r="101" spans="1:3" x14ac:dyDescent="0.25">
      <c r="A101" t="s">
        <v>121</v>
      </c>
      <c r="B101">
        <v>-1000</v>
      </c>
      <c r="C101">
        <v>1000</v>
      </c>
    </row>
    <row r="102" spans="1:3" x14ac:dyDescent="0.25">
      <c r="A102" t="s">
        <v>122</v>
      </c>
      <c r="B102">
        <v>-1000</v>
      </c>
      <c r="C102">
        <v>1000</v>
      </c>
    </row>
    <row r="103" spans="1:3" x14ac:dyDescent="0.25">
      <c r="A103" t="s">
        <v>123</v>
      </c>
      <c r="B103">
        <v>-1000</v>
      </c>
      <c r="C103">
        <v>1000</v>
      </c>
    </row>
    <row r="104" spans="1:3" x14ac:dyDescent="0.25">
      <c r="A104" t="s">
        <v>124</v>
      </c>
      <c r="B104">
        <v>-1000</v>
      </c>
      <c r="C104">
        <v>1000</v>
      </c>
    </row>
    <row r="105" spans="1:3" x14ac:dyDescent="0.25">
      <c r="A105" t="s">
        <v>332</v>
      </c>
      <c r="B105">
        <v>-1000</v>
      </c>
      <c r="C105">
        <v>1000</v>
      </c>
    </row>
    <row r="106" spans="1:3" x14ac:dyDescent="0.25">
      <c r="A106" t="s">
        <v>333</v>
      </c>
      <c r="B106">
        <v>-1000</v>
      </c>
      <c r="C106">
        <v>1000</v>
      </c>
    </row>
    <row r="107" spans="1:3" x14ac:dyDescent="0.25">
      <c r="A107" t="s">
        <v>125</v>
      </c>
      <c r="B107">
        <v>-1000</v>
      </c>
      <c r="C107">
        <v>1000</v>
      </c>
    </row>
    <row r="108" spans="1:3" x14ac:dyDescent="0.25">
      <c r="A108" t="s">
        <v>126</v>
      </c>
      <c r="B108">
        <v>-1000</v>
      </c>
      <c r="C108">
        <v>1000</v>
      </c>
    </row>
    <row r="109" spans="1:3" x14ac:dyDescent="0.25">
      <c r="A109" t="s">
        <v>127</v>
      </c>
      <c r="B109">
        <v>-1000</v>
      </c>
      <c r="C109">
        <v>1000</v>
      </c>
    </row>
    <row r="110" spans="1:3" x14ac:dyDescent="0.25">
      <c r="A110" t="s">
        <v>128</v>
      </c>
      <c r="B110">
        <v>-1000</v>
      </c>
      <c r="C110">
        <v>1000</v>
      </c>
    </row>
    <row r="111" spans="1:3" x14ac:dyDescent="0.25">
      <c r="A111" t="s">
        <v>129</v>
      </c>
      <c r="B111">
        <v>-1000</v>
      </c>
      <c r="C111">
        <v>1000</v>
      </c>
    </row>
    <row r="112" spans="1:3" x14ac:dyDescent="0.25">
      <c r="A112" t="s">
        <v>130</v>
      </c>
      <c r="B112">
        <v>-1000</v>
      </c>
      <c r="C112">
        <v>1000</v>
      </c>
    </row>
    <row r="113" spans="1:3" x14ac:dyDescent="0.25">
      <c r="A113" t="s">
        <v>364</v>
      </c>
      <c r="B113">
        <v>-1000</v>
      </c>
      <c r="C113">
        <v>1000</v>
      </c>
    </row>
    <row r="114" spans="1:3" x14ac:dyDescent="0.25">
      <c r="A114" t="s">
        <v>131</v>
      </c>
      <c r="B114">
        <v>-1000</v>
      </c>
      <c r="C114">
        <v>1000</v>
      </c>
    </row>
    <row r="115" spans="1:3" x14ac:dyDescent="0.25">
      <c r="A115" t="s">
        <v>132</v>
      </c>
      <c r="B115">
        <v>-1000</v>
      </c>
      <c r="C115">
        <v>1000</v>
      </c>
    </row>
    <row r="116" spans="1:3" x14ac:dyDescent="0.25">
      <c r="A116" t="s">
        <v>334</v>
      </c>
      <c r="B116">
        <v>-1000</v>
      </c>
      <c r="C116">
        <v>1000</v>
      </c>
    </row>
    <row r="117" spans="1:3" x14ac:dyDescent="0.25">
      <c r="A117" t="s">
        <v>133</v>
      </c>
      <c r="B117">
        <v>-1000</v>
      </c>
      <c r="C117">
        <v>1000</v>
      </c>
    </row>
    <row r="118" spans="1:3" x14ac:dyDescent="0.25">
      <c r="A118" t="s">
        <v>135</v>
      </c>
      <c r="B118">
        <v>-1000</v>
      </c>
      <c r="C118">
        <v>1000</v>
      </c>
    </row>
    <row r="119" spans="1:3" x14ac:dyDescent="0.25">
      <c r="A119" t="s">
        <v>136</v>
      </c>
      <c r="B119">
        <v>-1000</v>
      </c>
      <c r="C119">
        <v>1000</v>
      </c>
    </row>
    <row r="120" spans="1:3" x14ac:dyDescent="0.25">
      <c r="A120" t="s">
        <v>137</v>
      </c>
      <c r="B120">
        <v>-1000</v>
      </c>
      <c r="C120">
        <v>1000</v>
      </c>
    </row>
    <row r="121" spans="1:3" x14ac:dyDescent="0.25">
      <c r="A121" t="s">
        <v>138</v>
      </c>
      <c r="B121">
        <v>-1000</v>
      </c>
      <c r="C121">
        <v>1000</v>
      </c>
    </row>
    <row r="122" spans="1:3" x14ac:dyDescent="0.25">
      <c r="A122" t="s">
        <v>139</v>
      </c>
      <c r="B122">
        <v>-1000</v>
      </c>
      <c r="C122">
        <v>1000</v>
      </c>
    </row>
    <row r="123" spans="1:3" x14ac:dyDescent="0.25">
      <c r="A123" t="s">
        <v>140</v>
      </c>
      <c r="B123">
        <v>-1000</v>
      </c>
      <c r="C123">
        <v>1000</v>
      </c>
    </row>
    <row r="124" spans="1:3" x14ac:dyDescent="0.25">
      <c r="A124" t="s">
        <v>141</v>
      </c>
      <c r="B124">
        <v>-1000</v>
      </c>
      <c r="C124">
        <v>1000</v>
      </c>
    </row>
    <row r="125" spans="1:3" x14ac:dyDescent="0.25">
      <c r="A125" t="s">
        <v>142</v>
      </c>
      <c r="B125">
        <v>-1000</v>
      </c>
      <c r="C125">
        <v>1000</v>
      </c>
    </row>
    <row r="126" spans="1:3" x14ac:dyDescent="0.25">
      <c r="A126" t="s">
        <v>367</v>
      </c>
      <c r="B126">
        <v>0</v>
      </c>
      <c r="C126">
        <v>1000</v>
      </c>
    </row>
    <row r="127" spans="1:3" x14ac:dyDescent="0.25">
      <c r="A127" t="s">
        <v>368</v>
      </c>
      <c r="B127">
        <v>0</v>
      </c>
      <c r="C127">
        <v>0</v>
      </c>
    </row>
    <row r="128" spans="1:3" x14ac:dyDescent="0.25">
      <c r="A128" t="s">
        <v>143</v>
      </c>
      <c r="B128">
        <v>-1000</v>
      </c>
      <c r="C128">
        <v>1000</v>
      </c>
    </row>
    <row r="129" spans="1:3" x14ac:dyDescent="0.25">
      <c r="A129" t="s">
        <v>366</v>
      </c>
      <c r="B129">
        <v>0</v>
      </c>
      <c r="C129">
        <v>0</v>
      </c>
    </row>
    <row r="130" spans="1:3" x14ac:dyDescent="0.25">
      <c r="A130" t="s">
        <v>145</v>
      </c>
      <c r="B130">
        <v>-1000</v>
      </c>
      <c r="C130">
        <v>1000</v>
      </c>
    </row>
    <row r="131" spans="1:3" x14ac:dyDescent="0.25">
      <c r="A131" t="s">
        <v>146</v>
      </c>
      <c r="B131">
        <v>0</v>
      </c>
      <c r="C131">
        <v>1000</v>
      </c>
    </row>
    <row r="132" spans="1:3" x14ac:dyDescent="0.25">
      <c r="A132" t="s">
        <v>147</v>
      </c>
      <c r="B132">
        <v>0</v>
      </c>
      <c r="C132">
        <v>1000</v>
      </c>
    </row>
    <row r="133" spans="1:3" x14ac:dyDescent="0.25">
      <c r="A133" t="s">
        <v>148</v>
      </c>
      <c r="B133">
        <v>-1000</v>
      </c>
      <c r="C133">
        <v>1000</v>
      </c>
    </row>
    <row r="134" spans="1:3" x14ac:dyDescent="0.25">
      <c r="A134" t="s">
        <v>149</v>
      </c>
      <c r="B134">
        <v>-1000</v>
      </c>
      <c r="C134">
        <v>1000</v>
      </c>
    </row>
    <row r="135" spans="1:3" x14ac:dyDescent="0.25">
      <c r="A135" t="s">
        <v>361</v>
      </c>
      <c r="B135">
        <v>0</v>
      </c>
      <c r="C135">
        <v>0</v>
      </c>
    </row>
    <row r="136" spans="1:3" x14ac:dyDescent="0.25">
      <c r="A136" t="s">
        <v>362</v>
      </c>
      <c r="B136">
        <v>0</v>
      </c>
      <c r="C136">
        <v>1000</v>
      </c>
    </row>
    <row r="137" spans="1:3" x14ac:dyDescent="0.25">
      <c r="A137" t="s">
        <v>151</v>
      </c>
      <c r="B137">
        <v>-1000</v>
      </c>
      <c r="C137">
        <v>1000</v>
      </c>
    </row>
    <row r="138" spans="1:3" x14ac:dyDescent="0.25">
      <c r="A138" t="s">
        <v>152</v>
      </c>
      <c r="B138">
        <v>-1000</v>
      </c>
      <c r="C138">
        <v>1000</v>
      </c>
    </row>
    <row r="139" spans="1:3" x14ac:dyDescent="0.25">
      <c r="A139" t="s">
        <v>153</v>
      </c>
      <c r="B139">
        <v>-1000</v>
      </c>
      <c r="C139">
        <v>1000</v>
      </c>
    </row>
    <row r="140" spans="1:3" x14ac:dyDescent="0.25">
      <c r="A140" t="s">
        <v>154</v>
      </c>
      <c r="B140">
        <v>-1000</v>
      </c>
      <c r="C140">
        <v>1000</v>
      </c>
    </row>
    <row r="141" spans="1:3" x14ac:dyDescent="0.25">
      <c r="A141" t="s">
        <v>144</v>
      </c>
      <c r="B141">
        <v>0</v>
      </c>
      <c r="C141">
        <v>1000</v>
      </c>
    </row>
    <row r="142" spans="1:3" x14ac:dyDescent="0.25">
      <c r="A142" t="s">
        <v>155</v>
      </c>
      <c r="B142">
        <v>-1000</v>
      </c>
      <c r="C142">
        <v>1000</v>
      </c>
    </row>
    <row r="143" spans="1:3" x14ac:dyDescent="0.25">
      <c r="A143" t="s">
        <v>156</v>
      </c>
      <c r="B143">
        <v>-1000</v>
      </c>
      <c r="C143">
        <v>1000</v>
      </c>
    </row>
    <row r="144" spans="1:3" x14ac:dyDescent="0.25">
      <c r="A144" t="s">
        <v>157</v>
      </c>
      <c r="B144">
        <v>-1000</v>
      </c>
      <c r="C144">
        <v>1000</v>
      </c>
    </row>
    <row r="145" spans="1:3" x14ac:dyDescent="0.25">
      <c r="A145" t="s">
        <v>158</v>
      </c>
      <c r="B145">
        <v>-1000</v>
      </c>
      <c r="C145">
        <v>1000</v>
      </c>
    </row>
    <row r="146" spans="1:3" x14ac:dyDescent="0.25">
      <c r="A146" t="s">
        <v>159</v>
      </c>
      <c r="B146">
        <v>-1000</v>
      </c>
      <c r="C146">
        <v>1000</v>
      </c>
    </row>
    <row r="147" spans="1:3" x14ac:dyDescent="0.25">
      <c r="A147" t="s">
        <v>385</v>
      </c>
      <c r="B147">
        <v>-1000</v>
      </c>
      <c r="C147">
        <v>1000</v>
      </c>
    </row>
    <row r="148" spans="1:3" x14ac:dyDescent="0.25">
      <c r="A148" t="s">
        <v>160</v>
      </c>
      <c r="B148">
        <v>-1000</v>
      </c>
      <c r="C148">
        <v>1000</v>
      </c>
    </row>
    <row r="149" spans="1:3" x14ac:dyDescent="0.25">
      <c r="A149" t="s">
        <v>161</v>
      </c>
      <c r="B149">
        <v>-1000</v>
      </c>
      <c r="C149">
        <v>1000</v>
      </c>
    </row>
    <row r="150" spans="1:3" x14ac:dyDescent="0.25">
      <c r="A150" t="s">
        <v>162</v>
      </c>
      <c r="B150">
        <v>-1000</v>
      </c>
      <c r="C150">
        <v>1000</v>
      </c>
    </row>
    <row r="151" spans="1:3" x14ac:dyDescent="0.25">
      <c r="A151" t="s">
        <v>163</v>
      </c>
      <c r="B151">
        <v>-1000</v>
      </c>
      <c r="C151">
        <v>1000</v>
      </c>
    </row>
    <row r="152" spans="1:3" x14ac:dyDescent="0.25">
      <c r="A152" t="s">
        <v>164</v>
      </c>
      <c r="B152">
        <v>-1000</v>
      </c>
      <c r="C152">
        <v>1000</v>
      </c>
    </row>
    <row r="153" spans="1:3" x14ac:dyDescent="0.25">
      <c r="A153" t="s">
        <v>165</v>
      </c>
      <c r="B153">
        <v>-1000</v>
      </c>
      <c r="C153">
        <v>1000</v>
      </c>
    </row>
    <row r="154" spans="1:3" x14ac:dyDescent="0.25">
      <c r="A154" t="s">
        <v>166</v>
      </c>
      <c r="B154">
        <v>-1000</v>
      </c>
      <c r="C154">
        <v>1000</v>
      </c>
    </row>
    <row r="155" spans="1:3" x14ac:dyDescent="0.25">
      <c r="A155" t="s">
        <v>167</v>
      </c>
      <c r="B155">
        <v>-1000</v>
      </c>
      <c r="C155">
        <v>1000</v>
      </c>
    </row>
    <row r="156" spans="1:3" x14ac:dyDescent="0.25">
      <c r="A156" t="s">
        <v>335</v>
      </c>
      <c r="B156">
        <v>-1000</v>
      </c>
      <c r="C156">
        <v>1000</v>
      </c>
    </row>
    <row r="157" spans="1:3" x14ac:dyDescent="0.25">
      <c r="A157" t="s">
        <v>168</v>
      </c>
      <c r="B157">
        <v>-1000</v>
      </c>
      <c r="C157">
        <v>1000</v>
      </c>
    </row>
    <row r="158" spans="1:3" x14ac:dyDescent="0.25">
      <c r="A158" t="s">
        <v>169</v>
      </c>
      <c r="B158">
        <v>-1000</v>
      </c>
      <c r="C158">
        <v>1000</v>
      </c>
    </row>
    <row r="159" spans="1:3" x14ac:dyDescent="0.25">
      <c r="A159" t="s">
        <v>170</v>
      </c>
      <c r="B159">
        <v>-1000</v>
      </c>
      <c r="C159">
        <v>1000</v>
      </c>
    </row>
    <row r="160" spans="1:3" x14ac:dyDescent="0.25">
      <c r="A160" t="s">
        <v>171</v>
      </c>
      <c r="B160">
        <v>-1000</v>
      </c>
      <c r="C160">
        <v>1000</v>
      </c>
    </row>
    <row r="161" spans="1:3" x14ac:dyDescent="0.25">
      <c r="A161" t="s">
        <v>173</v>
      </c>
      <c r="B161">
        <v>-1000</v>
      </c>
      <c r="C161">
        <v>1000</v>
      </c>
    </row>
    <row r="162" spans="1:3" x14ac:dyDescent="0.25">
      <c r="A162" t="s">
        <v>174</v>
      </c>
      <c r="B162">
        <v>-1000</v>
      </c>
      <c r="C162">
        <v>1000</v>
      </c>
    </row>
    <row r="163" spans="1:3" x14ac:dyDescent="0.25">
      <c r="A163" t="s">
        <v>175</v>
      </c>
      <c r="B163">
        <v>-1000</v>
      </c>
      <c r="C163">
        <v>1000</v>
      </c>
    </row>
    <row r="164" spans="1:3" x14ac:dyDescent="0.25">
      <c r="A164" t="s">
        <v>435</v>
      </c>
      <c r="B164">
        <v>-1000</v>
      </c>
      <c r="C164">
        <v>1000</v>
      </c>
    </row>
    <row r="165" spans="1:3" x14ac:dyDescent="0.25">
      <c r="A165" t="s">
        <v>176</v>
      </c>
      <c r="B165">
        <v>-1000</v>
      </c>
      <c r="C165">
        <v>1000</v>
      </c>
    </row>
    <row r="166" spans="1:3" x14ac:dyDescent="0.25">
      <c r="A166" t="s">
        <v>177</v>
      </c>
      <c r="B166">
        <v>-1000</v>
      </c>
      <c r="C166">
        <v>1000</v>
      </c>
    </row>
    <row r="167" spans="1:3" x14ac:dyDescent="0.25">
      <c r="A167" t="s">
        <v>363</v>
      </c>
      <c r="B167">
        <v>0</v>
      </c>
      <c r="C167">
        <v>0</v>
      </c>
    </row>
    <row r="168" spans="1:3" x14ac:dyDescent="0.25">
      <c r="A168" t="s">
        <v>336</v>
      </c>
      <c r="B168">
        <v>-1000</v>
      </c>
      <c r="C168">
        <v>1000</v>
      </c>
    </row>
    <row r="169" spans="1:3" x14ac:dyDescent="0.25">
      <c r="A169" t="s">
        <v>360</v>
      </c>
      <c r="B169">
        <v>100</v>
      </c>
      <c r="C169">
        <v>100</v>
      </c>
    </row>
    <row r="170" spans="1:3" x14ac:dyDescent="0.25">
      <c r="A170" t="s">
        <v>178</v>
      </c>
      <c r="B170">
        <f>val!C7</f>
        <v>194.96583861362987</v>
      </c>
      <c r="C170">
        <f>val!C7</f>
        <v>194.96583861362987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59F54-94E5-4109-B9F2-595CCEB19BD8}">
  <dimension ref="A1:C170"/>
  <sheetViews>
    <sheetView topLeftCell="A28" workbookViewId="0">
      <selection activeCell="A37" sqref="A37"/>
    </sheetView>
  </sheetViews>
  <sheetFormatPr defaultRowHeight="15" x14ac:dyDescent="0.25"/>
  <cols>
    <col min="1" max="1" width="18.5703125" bestFit="1" customWidth="1"/>
  </cols>
  <sheetData>
    <row r="1" spans="1:3" x14ac:dyDescent="0.25">
      <c r="A1" t="s">
        <v>5</v>
      </c>
      <c r="B1" t="s">
        <v>352</v>
      </c>
      <c r="C1" t="s">
        <v>353</v>
      </c>
    </row>
    <row r="2" spans="1:3" x14ac:dyDescent="0.25">
      <c r="A2" t="s">
        <v>39</v>
      </c>
      <c r="B2">
        <v>-1000</v>
      </c>
      <c r="C2">
        <v>1000</v>
      </c>
    </row>
    <row r="3" spans="1:3" x14ac:dyDescent="0.25">
      <c r="A3" t="s">
        <v>359</v>
      </c>
      <c r="B3">
        <v>0</v>
      </c>
      <c r="C3">
        <v>0</v>
      </c>
    </row>
    <row r="4" spans="1:3" x14ac:dyDescent="0.25">
      <c r="A4" t="s">
        <v>386</v>
      </c>
      <c r="B4">
        <v>0</v>
      </c>
      <c r="C4">
        <v>0</v>
      </c>
    </row>
    <row r="5" spans="1:3" x14ac:dyDescent="0.25">
      <c r="A5" t="s">
        <v>358</v>
      </c>
      <c r="B5">
        <v>-1000</v>
      </c>
      <c r="C5">
        <v>1000</v>
      </c>
    </row>
    <row r="6" spans="1:3" x14ac:dyDescent="0.25">
      <c r="A6" t="s">
        <v>40</v>
      </c>
      <c r="B6">
        <v>-1000</v>
      </c>
      <c r="C6">
        <v>1000</v>
      </c>
    </row>
    <row r="7" spans="1:3" x14ac:dyDescent="0.25">
      <c r="A7" t="s">
        <v>41</v>
      </c>
      <c r="B7">
        <v>-1000</v>
      </c>
      <c r="C7">
        <v>1000</v>
      </c>
    </row>
    <row r="8" spans="1:3" x14ac:dyDescent="0.25">
      <c r="A8" t="s">
        <v>42</v>
      </c>
      <c r="B8">
        <v>-1000</v>
      </c>
      <c r="C8">
        <v>1000</v>
      </c>
    </row>
    <row r="9" spans="1:3" x14ac:dyDescent="0.25">
      <c r="A9" t="s">
        <v>43</v>
      </c>
      <c r="B9">
        <v>-1000</v>
      </c>
      <c r="C9">
        <v>1000</v>
      </c>
    </row>
    <row r="10" spans="1:3" x14ac:dyDescent="0.25">
      <c r="A10" t="s">
        <v>44</v>
      </c>
      <c r="B10">
        <v>-1000</v>
      </c>
      <c r="C10">
        <v>1000</v>
      </c>
    </row>
    <row r="11" spans="1:3" x14ac:dyDescent="0.25">
      <c r="A11" t="s">
        <v>45</v>
      </c>
      <c r="B11">
        <v>0</v>
      </c>
      <c r="C11">
        <v>0</v>
      </c>
    </row>
    <row r="12" spans="1:3" x14ac:dyDescent="0.25">
      <c r="A12" t="s">
        <v>324</v>
      </c>
      <c r="B12">
        <v>0</v>
      </c>
      <c r="C12">
        <v>1000</v>
      </c>
    </row>
    <row r="13" spans="1:3" x14ac:dyDescent="0.25">
      <c r="A13" t="s">
        <v>371</v>
      </c>
      <c r="B13">
        <v>-1000</v>
      </c>
      <c r="C13">
        <v>1000</v>
      </c>
    </row>
    <row r="14" spans="1:3" x14ac:dyDescent="0.25">
      <c r="A14" t="s">
        <v>371</v>
      </c>
      <c r="B14">
        <v>-1000</v>
      </c>
      <c r="C14">
        <v>1000</v>
      </c>
    </row>
    <row r="15" spans="1:3" x14ac:dyDescent="0.25">
      <c r="A15" t="s">
        <v>46</v>
      </c>
      <c r="B15">
        <v>-1000</v>
      </c>
      <c r="C15">
        <v>1000</v>
      </c>
    </row>
    <row r="16" spans="1:3" x14ac:dyDescent="0.25">
      <c r="A16" t="s">
        <v>47</v>
      </c>
      <c r="B16">
        <v>-1000</v>
      </c>
      <c r="C16">
        <v>1000</v>
      </c>
    </row>
    <row r="17" spans="1:3" x14ac:dyDescent="0.25">
      <c r="A17" t="s">
        <v>48</v>
      </c>
      <c r="B17">
        <v>-1000</v>
      </c>
      <c r="C17">
        <v>1000</v>
      </c>
    </row>
    <row r="18" spans="1:3" x14ac:dyDescent="0.25">
      <c r="A18" t="s">
        <v>49</v>
      </c>
      <c r="B18">
        <v>-1000</v>
      </c>
      <c r="C18">
        <v>1000</v>
      </c>
    </row>
    <row r="19" spans="1:3" x14ac:dyDescent="0.25">
      <c r="A19" t="s">
        <v>50</v>
      </c>
      <c r="B19">
        <v>-1000</v>
      </c>
      <c r="C19">
        <v>1000</v>
      </c>
    </row>
    <row r="20" spans="1:3" x14ac:dyDescent="0.25">
      <c r="A20" t="s">
        <v>51</v>
      </c>
      <c r="B20">
        <v>-1000</v>
      </c>
      <c r="C20">
        <v>1000</v>
      </c>
    </row>
    <row r="21" spans="1:3" x14ac:dyDescent="0.25">
      <c r="A21" t="s">
        <v>52</v>
      </c>
      <c r="B21">
        <v>-1000</v>
      </c>
      <c r="C21">
        <v>1000</v>
      </c>
    </row>
    <row r="22" spans="1:3" x14ac:dyDescent="0.25">
      <c r="A22" t="s">
        <v>53</v>
      </c>
      <c r="B22">
        <v>-1000</v>
      </c>
      <c r="C22">
        <v>1000</v>
      </c>
    </row>
    <row r="23" spans="1:3" x14ac:dyDescent="0.25">
      <c r="A23" t="s">
        <v>54</v>
      </c>
      <c r="B23">
        <v>-1000</v>
      </c>
      <c r="C23">
        <v>1000</v>
      </c>
    </row>
    <row r="24" spans="1:3" x14ac:dyDescent="0.25">
      <c r="A24" t="s">
        <v>55</v>
      </c>
      <c r="B24">
        <v>-1000</v>
      </c>
      <c r="C24">
        <v>1000</v>
      </c>
    </row>
    <row r="25" spans="1:3" x14ac:dyDescent="0.25">
      <c r="A25" t="s">
        <v>56</v>
      </c>
      <c r="B25">
        <v>-1000</v>
      </c>
      <c r="C25">
        <v>1000</v>
      </c>
    </row>
    <row r="26" spans="1:3" x14ac:dyDescent="0.25">
      <c r="A26" t="s">
        <v>57</v>
      </c>
      <c r="B26">
        <v>-1000</v>
      </c>
      <c r="C26">
        <v>1000</v>
      </c>
    </row>
    <row r="27" spans="1:3" x14ac:dyDescent="0.25">
      <c r="A27" t="s">
        <v>58</v>
      </c>
      <c r="B27">
        <v>-1000</v>
      </c>
      <c r="C27">
        <v>1000</v>
      </c>
    </row>
    <row r="28" spans="1:3" x14ac:dyDescent="0.25">
      <c r="A28" t="s">
        <v>59</v>
      </c>
      <c r="B28">
        <v>-1000</v>
      </c>
      <c r="C28">
        <v>1000</v>
      </c>
    </row>
    <row r="29" spans="1:3" x14ac:dyDescent="0.25">
      <c r="A29" t="s">
        <v>325</v>
      </c>
      <c r="B29">
        <v>-1000</v>
      </c>
      <c r="C29">
        <v>1000</v>
      </c>
    </row>
    <row r="30" spans="1:3" x14ac:dyDescent="0.25">
      <c r="A30" t="s">
        <v>60</v>
      </c>
      <c r="B30">
        <v>-1000</v>
      </c>
      <c r="C30">
        <v>1000</v>
      </c>
    </row>
    <row r="31" spans="1:3" x14ac:dyDescent="0.25">
      <c r="A31" t="s">
        <v>61</v>
      </c>
      <c r="B31">
        <v>-1000</v>
      </c>
      <c r="C31">
        <v>1000</v>
      </c>
    </row>
    <row r="32" spans="1:3" x14ac:dyDescent="0.25">
      <c r="A32" t="s">
        <v>62</v>
      </c>
      <c r="B32">
        <v>-1000</v>
      </c>
      <c r="C32">
        <v>1000</v>
      </c>
    </row>
    <row r="33" spans="1:3" x14ac:dyDescent="0.25">
      <c r="A33" t="s">
        <v>63</v>
      </c>
      <c r="B33">
        <v>-1000</v>
      </c>
      <c r="C33">
        <v>1000</v>
      </c>
    </row>
    <row r="34" spans="1:3" x14ac:dyDescent="0.25">
      <c r="A34" t="s">
        <v>64</v>
      </c>
      <c r="B34">
        <v>-1000</v>
      </c>
      <c r="C34">
        <v>1000</v>
      </c>
    </row>
    <row r="35" spans="1:3" x14ac:dyDescent="0.25">
      <c r="A35" t="s">
        <v>65</v>
      </c>
      <c r="B35">
        <v>-1000</v>
      </c>
      <c r="C35">
        <v>1000</v>
      </c>
    </row>
    <row r="36" spans="1:3" x14ac:dyDescent="0.25">
      <c r="A36" t="s">
        <v>66</v>
      </c>
      <c r="B36">
        <v>-1000</v>
      </c>
      <c r="C36">
        <v>1000</v>
      </c>
    </row>
    <row r="37" spans="1:3" x14ac:dyDescent="0.25">
      <c r="A37" t="s">
        <v>442</v>
      </c>
      <c r="B37">
        <v>-1000</v>
      </c>
      <c r="C37">
        <v>1000</v>
      </c>
    </row>
    <row r="38" spans="1:3" x14ac:dyDescent="0.25">
      <c r="A38" t="s">
        <v>438</v>
      </c>
      <c r="B38">
        <v>0</v>
      </c>
      <c r="C38">
        <v>0</v>
      </c>
    </row>
    <row r="39" spans="1:3" x14ac:dyDescent="0.25">
      <c r="A39" t="s">
        <v>326</v>
      </c>
      <c r="B39">
        <v>0</v>
      </c>
      <c r="C39">
        <v>0</v>
      </c>
    </row>
    <row r="40" spans="1:3" x14ac:dyDescent="0.25">
      <c r="A40" t="s">
        <v>369</v>
      </c>
      <c r="B40">
        <v>-1000</v>
      </c>
      <c r="C40">
        <v>1000</v>
      </c>
    </row>
    <row r="41" spans="1:3" x14ac:dyDescent="0.25">
      <c r="A41" t="s">
        <v>67</v>
      </c>
      <c r="B41">
        <v>-1000</v>
      </c>
      <c r="C41">
        <v>1000</v>
      </c>
    </row>
    <row r="42" spans="1:3" x14ac:dyDescent="0.25">
      <c r="A42" t="s">
        <v>327</v>
      </c>
      <c r="B42">
        <v>-1000</v>
      </c>
      <c r="C42">
        <v>1000</v>
      </c>
    </row>
    <row r="43" spans="1:3" x14ac:dyDescent="0.25">
      <c r="A43" t="s">
        <v>68</v>
      </c>
      <c r="B43">
        <v>-1000</v>
      </c>
      <c r="C43">
        <v>1000</v>
      </c>
    </row>
    <row r="44" spans="1:3" x14ac:dyDescent="0.25">
      <c r="A44" t="s">
        <v>69</v>
      </c>
      <c r="B44">
        <v>-1000</v>
      </c>
      <c r="C44">
        <v>1000</v>
      </c>
    </row>
    <row r="45" spans="1:3" x14ac:dyDescent="0.25">
      <c r="A45" t="s">
        <v>70</v>
      </c>
      <c r="B45">
        <v>0</v>
      </c>
      <c r="C45">
        <v>0</v>
      </c>
    </row>
    <row r="46" spans="1:3" x14ac:dyDescent="0.25">
      <c r="A46" t="s">
        <v>71</v>
      </c>
      <c r="B46">
        <v>-1000</v>
      </c>
      <c r="C46">
        <v>1000</v>
      </c>
    </row>
    <row r="47" spans="1:3" x14ac:dyDescent="0.25">
      <c r="A47" t="s">
        <v>72</v>
      </c>
      <c r="B47">
        <v>-1000</v>
      </c>
      <c r="C47">
        <v>1000</v>
      </c>
    </row>
    <row r="48" spans="1:3" x14ac:dyDescent="0.25">
      <c r="A48" t="s">
        <v>73</v>
      </c>
      <c r="B48">
        <v>-1000</v>
      </c>
      <c r="C48">
        <v>1000</v>
      </c>
    </row>
    <row r="49" spans="1:3" x14ac:dyDescent="0.25">
      <c r="A49" t="s">
        <v>74</v>
      </c>
      <c r="B49">
        <v>-1000</v>
      </c>
      <c r="C49">
        <v>1000</v>
      </c>
    </row>
    <row r="50" spans="1:3" x14ac:dyDescent="0.25">
      <c r="A50" t="s">
        <v>75</v>
      </c>
      <c r="B50">
        <v>-1000</v>
      </c>
      <c r="C50">
        <v>1000</v>
      </c>
    </row>
    <row r="51" spans="1:3" x14ac:dyDescent="0.25">
      <c r="A51" t="s">
        <v>76</v>
      </c>
      <c r="B51">
        <v>-1000</v>
      </c>
      <c r="C51">
        <v>1000</v>
      </c>
    </row>
    <row r="52" spans="1:3" x14ac:dyDescent="0.25">
      <c r="A52" t="s">
        <v>77</v>
      </c>
      <c r="B52">
        <v>-1000</v>
      </c>
      <c r="C52">
        <v>1000</v>
      </c>
    </row>
    <row r="53" spans="1:3" x14ac:dyDescent="0.25">
      <c r="A53" t="s">
        <v>78</v>
      </c>
      <c r="B53">
        <v>-1000</v>
      </c>
      <c r="C53">
        <v>1000</v>
      </c>
    </row>
    <row r="54" spans="1:3" x14ac:dyDescent="0.25">
      <c r="A54" t="s">
        <v>79</v>
      </c>
      <c r="B54">
        <v>-1000</v>
      </c>
      <c r="C54">
        <v>1000</v>
      </c>
    </row>
    <row r="55" spans="1:3" x14ac:dyDescent="0.25">
      <c r="A55" t="s">
        <v>80</v>
      </c>
      <c r="B55">
        <v>-1000</v>
      </c>
      <c r="C55">
        <v>1000</v>
      </c>
    </row>
    <row r="56" spans="1:3" x14ac:dyDescent="0.25">
      <c r="A56" t="s">
        <v>81</v>
      </c>
      <c r="B56">
        <v>-1000</v>
      </c>
      <c r="C56">
        <v>1000</v>
      </c>
    </row>
    <row r="57" spans="1:3" x14ac:dyDescent="0.25">
      <c r="A57" t="s">
        <v>82</v>
      </c>
      <c r="B57">
        <v>-1000</v>
      </c>
      <c r="C57">
        <v>1000</v>
      </c>
    </row>
    <row r="58" spans="1:3" x14ac:dyDescent="0.25">
      <c r="A58" t="s">
        <v>83</v>
      </c>
      <c r="B58">
        <v>-1000</v>
      </c>
      <c r="C58">
        <v>1000</v>
      </c>
    </row>
    <row r="59" spans="1:3" x14ac:dyDescent="0.25">
      <c r="A59" t="s">
        <v>84</v>
      </c>
      <c r="B59">
        <v>-1000</v>
      </c>
      <c r="C59">
        <v>1000</v>
      </c>
    </row>
    <row r="60" spans="1:3" x14ac:dyDescent="0.25">
      <c r="A60" t="s">
        <v>365</v>
      </c>
      <c r="B60">
        <v>0</v>
      </c>
      <c r="C60">
        <v>0</v>
      </c>
    </row>
    <row r="61" spans="1:3" x14ac:dyDescent="0.25">
      <c r="A61" t="s">
        <v>328</v>
      </c>
      <c r="B61">
        <v>-1000</v>
      </c>
      <c r="C61">
        <v>1000</v>
      </c>
    </row>
    <row r="62" spans="1:3" x14ac:dyDescent="0.25">
      <c r="A62" t="s">
        <v>85</v>
      </c>
      <c r="B62">
        <v>-1000</v>
      </c>
      <c r="C62">
        <v>1000</v>
      </c>
    </row>
    <row r="63" spans="1:3" x14ac:dyDescent="0.25">
      <c r="A63" t="s">
        <v>86</v>
      </c>
      <c r="B63">
        <v>-1000</v>
      </c>
      <c r="C63">
        <v>1000</v>
      </c>
    </row>
    <row r="64" spans="1:3" x14ac:dyDescent="0.25">
      <c r="A64" t="s">
        <v>87</v>
      </c>
      <c r="B64">
        <v>-1000</v>
      </c>
      <c r="C64">
        <v>1000</v>
      </c>
    </row>
    <row r="65" spans="1:3" x14ac:dyDescent="0.25">
      <c r="A65" t="s">
        <v>88</v>
      </c>
      <c r="B65">
        <v>-1000</v>
      </c>
      <c r="C65">
        <v>1000</v>
      </c>
    </row>
    <row r="66" spans="1:3" x14ac:dyDescent="0.25">
      <c r="A66" t="s">
        <v>89</v>
      </c>
      <c r="B66">
        <v>-1000</v>
      </c>
      <c r="C66">
        <v>1000</v>
      </c>
    </row>
    <row r="67" spans="1:3" x14ac:dyDescent="0.25">
      <c r="A67" t="s">
        <v>90</v>
      </c>
      <c r="B67">
        <v>0</v>
      </c>
      <c r="C67">
        <v>1000</v>
      </c>
    </row>
    <row r="68" spans="1:3" x14ac:dyDescent="0.25">
      <c r="A68" t="s">
        <v>329</v>
      </c>
      <c r="B68">
        <v>-1000</v>
      </c>
      <c r="C68">
        <v>1000</v>
      </c>
    </row>
    <row r="69" spans="1:3" x14ac:dyDescent="0.25">
      <c r="A69" t="s">
        <v>91</v>
      </c>
      <c r="B69">
        <v>-1000</v>
      </c>
      <c r="C69">
        <v>1000</v>
      </c>
    </row>
    <row r="70" spans="1:3" x14ac:dyDescent="0.25">
      <c r="A70" t="s">
        <v>92</v>
      </c>
      <c r="B70">
        <v>-1000</v>
      </c>
      <c r="C70">
        <v>1000</v>
      </c>
    </row>
    <row r="71" spans="1:3" x14ac:dyDescent="0.25">
      <c r="A71" t="s">
        <v>93</v>
      </c>
      <c r="B71">
        <v>-1000</v>
      </c>
      <c r="C71">
        <v>1000</v>
      </c>
    </row>
    <row r="72" spans="1:3" x14ac:dyDescent="0.25">
      <c r="A72" t="s">
        <v>94</v>
      </c>
      <c r="B72">
        <v>-1000</v>
      </c>
      <c r="C72">
        <v>1000</v>
      </c>
    </row>
    <row r="73" spans="1:3" x14ac:dyDescent="0.25">
      <c r="A73" t="s">
        <v>330</v>
      </c>
      <c r="B73">
        <v>0</v>
      </c>
      <c r="C73">
        <v>1000</v>
      </c>
    </row>
    <row r="74" spans="1:3" x14ac:dyDescent="0.25">
      <c r="A74" t="s">
        <v>95</v>
      </c>
      <c r="B74">
        <v>-1000</v>
      </c>
      <c r="C74">
        <v>1000</v>
      </c>
    </row>
    <row r="75" spans="1:3" x14ac:dyDescent="0.25">
      <c r="A75" t="s">
        <v>331</v>
      </c>
      <c r="B75">
        <v>-1000</v>
      </c>
      <c r="C75">
        <v>1000</v>
      </c>
    </row>
    <row r="76" spans="1:3" x14ac:dyDescent="0.25">
      <c r="A76" t="s">
        <v>96</v>
      </c>
      <c r="B76">
        <v>-1000</v>
      </c>
      <c r="C76">
        <v>1000</v>
      </c>
    </row>
    <row r="77" spans="1:3" x14ac:dyDescent="0.25">
      <c r="A77" t="s">
        <v>97</v>
      </c>
      <c r="B77">
        <v>-1000</v>
      </c>
      <c r="C77">
        <v>1000</v>
      </c>
    </row>
    <row r="78" spans="1:3" x14ac:dyDescent="0.25">
      <c r="A78" t="s">
        <v>98</v>
      </c>
      <c r="B78">
        <v>-1000</v>
      </c>
      <c r="C78">
        <v>1000</v>
      </c>
    </row>
    <row r="79" spans="1:3" x14ac:dyDescent="0.25">
      <c r="A79" t="s">
        <v>99</v>
      </c>
      <c r="B79">
        <v>-1000</v>
      </c>
      <c r="C79">
        <v>1000</v>
      </c>
    </row>
    <row r="80" spans="1:3" x14ac:dyDescent="0.25">
      <c r="A80" t="s">
        <v>100</v>
      </c>
      <c r="B80">
        <v>-1000</v>
      </c>
      <c r="C80">
        <v>1000</v>
      </c>
    </row>
    <row r="81" spans="1:3" x14ac:dyDescent="0.25">
      <c r="A81" t="s">
        <v>101</v>
      </c>
      <c r="B81">
        <v>-1000</v>
      </c>
      <c r="C81">
        <v>1000</v>
      </c>
    </row>
    <row r="82" spans="1:3" x14ac:dyDescent="0.25">
      <c r="A82" t="s">
        <v>102</v>
      </c>
      <c r="B82">
        <v>-1000</v>
      </c>
      <c r="C82">
        <v>1000</v>
      </c>
    </row>
    <row r="83" spans="1:3" x14ac:dyDescent="0.25">
      <c r="A83" t="s">
        <v>103</v>
      </c>
      <c r="B83">
        <v>-1000</v>
      </c>
      <c r="C83">
        <v>1000</v>
      </c>
    </row>
    <row r="84" spans="1:3" x14ac:dyDescent="0.25">
      <c r="A84" t="s">
        <v>104</v>
      </c>
      <c r="B84">
        <v>-1000</v>
      </c>
      <c r="C84">
        <v>1000</v>
      </c>
    </row>
    <row r="85" spans="1:3" x14ac:dyDescent="0.25">
      <c r="A85" t="s">
        <v>105</v>
      </c>
      <c r="B85">
        <v>-1000</v>
      </c>
      <c r="C85">
        <v>1000</v>
      </c>
    </row>
    <row r="86" spans="1:3" x14ac:dyDescent="0.25">
      <c r="A86" t="s">
        <v>106</v>
      </c>
      <c r="B86">
        <v>-1000</v>
      </c>
      <c r="C86">
        <v>1000</v>
      </c>
    </row>
    <row r="87" spans="1:3" x14ac:dyDescent="0.25">
      <c r="A87" t="s">
        <v>107</v>
      </c>
      <c r="B87">
        <v>-1000</v>
      </c>
      <c r="C87">
        <v>1000</v>
      </c>
    </row>
    <row r="88" spans="1:3" x14ac:dyDescent="0.25">
      <c r="A88" t="s">
        <v>108</v>
      </c>
      <c r="B88">
        <v>-1000</v>
      </c>
      <c r="C88">
        <v>1000</v>
      </c>
    </row>
    <row r="89" spans="1:3" x14ac:dyDescent="0.25">
      <c r="A89" t="s">
        <v>109</v>
      </c>
      <c r="B89">
        <v>-1000</v>
      </c>
      <c r="C89">
        <v>1000</v>
      </c>
    </row>
    <row r="90" spans="1:3" x14ac:dyDescent="0.25">
      <c r="A90" t="s">
        <v>110</v>
      </c>
      <c r="B90">
        <v>-1000</v>
      </c>
      <c r="C90">
        <v>1000</v>
      </c>
    </row>
    <row r="91" spans="1:3" x14ac:dyDescent="0.25">
      <c r="A91" t="s">
        <v>111</v>
      </c>
      <c r="B91">
        <v>-1000</v>
      </c>
      <c r="C91">
        <v>1000</v>
      </c>
    </row>
    <row r="92" spans="1:3" x14ac:dyDescent="0.25">
      <c r="A92" t="s">
        <v>112</v>
      </c>
      <c r="B92">
        <v>-1000</v>
      </c>
      <c r="C92">
        <v>1000</v>
      </c>
    </row>
    <row r="93" spans="1:3" x14ac:dyDescent="0.25">
      <c r="A93" t="s">
        <v>113</v>
      </c>
      <c r="B93">
        <v>-1000</v>
      </c>
      <c r="C93">
        <v>1000</v>
      </c>
    </row>
    <row r="94" spans="1:3" x14ac:dyDescent="0.25">
      <c r="A94" t="s">
        <v>114</v>
      </c>
      <c r="B94">
        <v>-1000</v>
      </c>
      <c r="C94">
        <v>1000</v>
      </c>
    </row>
    <row r="95" spans="1:3" x14ac:dyDescent="0.25">
      <c r="A95" t="s">
        <v>115</v>
      </c>
      <c r="B95">
        <v>-1000</v>
      </c>
      <c r="C95">
        <v>1000</v>
      </c>
    </row>
    <row r="96" spans="1:3" x14ac:dyDescent="0.25">
      <c r="A96" t="s">
        <v>116</v>
      </c>
      <c r="B96">
        <v>-1000</v>
      </c>
      <c r="C96">
        <v>1000</v>
      </c>
    </row>
    <row r="97" spans="1:3" x14ac:dyDescent="0.25">
      <c r="A97" t="s">
        <v>117</v>
      </c>
      <c r="B97">
        <v>-1000</v>
      </c>
      <c r="C97">
        <v>1000</v>
      </c>
    </row>
    <row r="98" spans="1:3" x14ac:dyDescent="0.25">
      <c r="A98" t="s">
        <v>118</v>
      </c>
      <c r="B98">
        <v>-1000</v>
      </c>
      <c r="C98">
        <v>1000</v>
      </c>
    </row>
    <row r="99" spans="1:3" x14ac:dyDescent="0.25">
      <c r="A99" t="s">
        <v>119</v>
      </c>
      <c r="B99">
        <v>-1000</v>
      </c>
      <c r="C99">
        <v>1000</v>
      </c>
    </row>
    <row r="100" spans="1:3" x14ac:dyDescent="0.25">
      <c r="A100" t="s">
        <v>120</v>
      </c>
      <c r="B100">
        <v>-1000</v>
      </c>
      <c r="C100">
        <v>1000</v>
      </c>
    </row>
    <row r="101" spans="1:3" x14ac:dyDescent="0.25">
      <c r="A101" t="s">
        <v>121</v>
      </c>
      <c r="B101">
        <v>-1000</v>
      </c>
      <c r="C101">
        <v>1000</v>
      </c>
    </row>
    <row r="102" spans="1:3" x14ac:dyDescent="0.25">
      <c r="A102" t="s">
        <v>122</v>
      </c>
      <c r="B102">
        <v>-1000</v>
      </c>
      <c r="C102">
        <v>1000</v>
      </c>
    </row>
    <row r="103" spans="1:3" x14ac:dyDescent="0.25">
      <c r="A103" t="s">
        <v>123</v>
      </c>
      <c r="B103">
        <v>-1000</v>
      </c>
      <c r="C103">
        <v>1000</v>
      </c>
    </row>
    <row r="104" spans="1:3" x14ac:dyDescent="0.25">
      <c r="A104" t="s">
        <v>124</v>
      </c>
      <c r="B104">
        <v>-1000</v>
      </c>
      <c r="C104">
        <v>1000</v>
      </c>
    </row>
    <row r="105" spans="1:3" x14ac:dyDescent="0.25">
      <c r="A105" t="s">
        <v>332</v>
      </c>
      <c r="B105">
        <v>-1000</v>
      </c>
      <c r="C105">
        <v>1000</v>
      </c>
    </row>
    <row r="106" spans="1:3" x14ac:dyDescent="0.25">
      <c r="A106" t="s">
        <v>333</v>
      </c>
      <c r="B106">
        <v>-1000</v>
      </c>
      <c r="C106">
        <v>1000</v>
      </c>
    </row>
    <row r="107" spans="1:3" x14ac:dyDescent="0.25">
      <c r="A107" t="s">
        <v>125</v>
      </c>
      <c r="B107">
        <v>-1000</v>
      </c>
      <c r="C107">
        <v>1000</v>
      </c>
    </row>
    <row r="108" spans="1:3" x14ac:dyDescent="0.25">
      <c r="A108" t="s">
        <v>126</v>
      </c>
      <c r="B108">
        <v>-1000</v>
      </c>
      <c r="C108">
        <v>1000</v>
      </c>
    </row>
    <row r="109" spans="1:3" x14ac:dyDescent="0.25">
      <c r="A109" t="s">
        <v>127</v>
      </c>
      <c r="B109">
        <v>-1000</v>
      </c>
      <c r="C109">
        <v>1000</v>
      </c>
    </row>
    <row r="110" spans="1:3" x14ac:dyDescent="0.25">
      <c r="A110" t="s">
        <v>128</v>
      </c>
      <c r="B110">
        <v>-1000</v>
      </c>
      <c r="C110">
        <v>1000</v>
      </c>
    </row>
    <row r="111" spans="1:3" x14ac:dyDescent="0.25">
      <c r="A111" t="s">
        <v>129</v>
      </c>
      <c r="B111">
        <v>-1000</v>
      </c>
      <c r="C111">
        <v>1000</v>
      </c>
    </row>
    <row r="112" spans="1:3" x14ac:dyDescent="0.25">
      <c r="A112" t="s">
        <v>130</v>
      </c>
      <c r="B112">
        <v>-1000</v>
      </c>
      <c r="C112">
        <v>1000</v>
      </c>
    </row>
    <row r="113" spans="1:3" x14ac:dyDescent="0.25">
      <c r="A113" t="s">
        <v>364</v>
      </c>
      <c r="B113">
        <v>-1000</v>
      </c>
      <c r="C113">
        <v>1000</v>
      </c>
    </row>
    <row r="114" spans="1:3" x14ac:dyDescent="0.25">
      <c r="A114" t="s">
        <v>131</v>
      </c>
      <c r="B114">
        <v>-1000</v>
      </c>
      <c r="C114">
        <v>1000</v>
      </c>
    </row>
    <row r="115" spans="1:3" x14ac:dyDescent="0.25">
      <c r="A115" t="s">
        <v>132</v>
      </c>
      <c r="B115">
        <v>-1000</v>
      </c>
      <c r="C115">
        <v>1000</v>
      </c>
    </row>
    <row r="116" spans="1:3" x14ac:dyDescent="0.25">
      <c r="A116" t="s">
        <v>334</v>
      </c>
      <c r="B116">
        <v>-1000</v>
      </c>
      <c r="C116">
        <v>1000</v>
      </c>
    </row>
    <row r="117" spans="1:3" x14ac:dyDescent="0.25">
      <c r="A117" t="s">
        <v>133</v>
      </c>
      <c r="B117">
        <v>-1000</v>
      </c>
      <c r="C117">
        <v>1000</v>
      </c>
    </row>
    <row r="118" spans="1:3" x14ac:dyDescent="0.25">
      <c r="A118" t="s">
        <v>135</v>
      </c>
      <c r="B118">
        <v>-1000</v>
      </c>
      <c r="C118">
        <v>1000</v>
      </c>
    </row>
    <row r="119" spans="1:3" x14ac:dyDescent="0.25">
      <c r="A119" t="s">
        <v>136</v>
      </c>
      <c r="B119">
        <v>-1000</v>
      </c>
      <c r="C119">
        <v>1000</v>
      </c>
    </row>
    <row r="120" spans="1:3" x14ac:dyDescent="0.25">
      <c r="A120" t="s">
        <v>137</v>
      </c>
      <c r="B120">
        <v>-1000</v>
      </c>
      <c r="C120">
        <v>1000</v>
      </c>
    </row>
    <row r="121" spans="1:3" x14ac:dyDescent="0.25">
      <c r="A121" t="s">
        <v>138</v>
      </c>
      <c r="B121">
        <v>-1000</v>
      </c>
      <c r="C121">
        <v>1000</v>
      </c>
    </row>
    <row r="122" spans="1:3" x14ac:dyDescent="0.25">
      <c r="A122" t="s">
        <v>139</v>
      </c>
      <c r="B122">
        <v>-1000</v>
      </c>
      <c r="C122">
        <v>1000</v>
      </c>
    </row>
    <row r="123" spans="1:3" x14ac:dyDescent="0.25">
      <c r="A123" t="s">
        <v>140</v>
      </c>
      <c r="B123">
        <v>-1000</v>
      </c>
      <c r="C123">
        <v>1000</v>
      </c>
    </row>
    <row r="124" spans="1:3" x14ac:dyDescent="0.25">
      <c r="A124" t="s">
        <v>141</v>
      </c>
      <c r="B124">
        <v>-1000</v>
      </c>
      <c r="C124">
        <v>1000</v>
      </c>
    </row>
    <row r="125" spans="1:3" x14ac:dyDescent="0.25">
      <c r="A125" t="s">
        <v>142</v>
      </c>
      <c r="B125">
        <v>-1000</v>
      </c>
      <c r="C125">
        <v>1000</v>
      </c>
    </row>
    <row r="126" spans="1:3" x14ac:dyDescent="0.25">
      <c r="A126" t="s">
        <v>367</v>
      </c>
      <c r="B126">
        <v>0</v>
      </c>
      <c r="C126">
        <v>1000</v>
      </c>
    </row>
    <row r="127" spans="1:3" x14ac:dyDescent="0.25">
      <c r="A127" t="s">
        <v>368</v>
      </c>
      <c r="B127">
        <v>0</v>
      </c>
      <c r="C127">
        <v>0</v>
      </c>
    </row>
    <row r="128" spans="1:3" x14ac:dyDescent="0.25">
      <c r="A128" t="s">
        <v>143</v>
      </c>
      <c r="B128">
        <v>-1000</v>
      </c>
      <c r="C128">
        <v>1000</v>
      </c>
    </row>
    <row r="129" spans="1:3" x14ac:dyDescent="0.25">
      <c r="A129" t="s">
        <v>366</v>
      </c>
      <c r="B129">
        <v>-1000</v>
      </c>
      <c r="C129">
        <v>1000</v>
      </c>
    </row>
    <row r="130" spans="1:3" x14ac:dyDescent="0.25">
      <c r="A130" t="s">
        <v>145</v>
      </c>
      <c r="B130">
        <v>-1000</v>
      </c>
      <c r="C130">
        <v>1000</v>
      </c>
    </row>
    <row r="131" spans="1:3" x14ac:dyDescent="0.25">
      <c r="A131" t="s">
        <v>146</v>
      </c>
      <c r="B131">
        <v>0</v>
      </c>
      <c r="C131">
        <v>1000</v>
      </c>
    </row>
    <row r="132" spans="1:3" x14ac:dyDescent="0.25">
      <c r="A132" t="s">
        <v>147</v>
      </c>
      <c r="B132">
        <v>0</v>
      </c>
      <c r="C132">
        <v>1000</v>
      </c>
    </row>
    <row r="133" spans="1:3" x14ac:dyDescent="0.25">
      <c r="A133" t="s">
        <v>148</v>
      </c>
      <c r="B133">
        <v>-1000</v>
      </c>
      <c r="C133">
        <v>1000</v>
      </c>
    </row>
    <row r="134" spans="1:3" x14ac:dyDescent="0.25">
      <c r="A134" t="s">
        <v>149</v>
      </c>
      <c r="B134">
        <v>-1000</v>
      </c>
      <c r="C134">
        <v>1000</v>
      </c>
    </row>
    <row r="135" spans="1:3" x14ac:dyDescent="0.25">
      <c r="A135" t="s">
        <v>361</v>
      </c>
      <c r="B135">
        <v>0</v>
      </c>
      <c r="C135">
        <v>0</v>
      </c>
    </row>
    <row r="136" spans="1:3" x14ac:dyDescent="0.25">
      <c r="A136" t="s">
        <v>362</v>
      </c>
      <c r="B136">
        <v>0</v>
      </c>
      <c r="C136">
        <v>1000</v>
      </c>
    </row>
    <row r="137" spans="1:3" x14ac:dyDescent="0.25">
      <c r="A137" t="s">
        <v>151</v>
      </c>
      <c r="B137">
        <v>-1000</v>
      </c>
      <c r="C137">
        <v>1000</v>
      </c>
    </row>
    <row r="138" spans="1:3" x14ac:dyDescent="0.25">
      <c r="A138" t="s">
        <v>152</v>
      </c>
      <c r="B138">
        <v>-1000</v>
      </c>
      <c r="C138">
        <v>1000</v>
      </c>
    </row>
    <row r="139" spans="1:3" x14ac:dyDescent="0.25">
      <c r="A139" t="s">
        <v>153</v>
      </c>
      <c r="B139">
        <v>-1000</v>
      </c>
      <c r="C139">
        <v>1000</v>
      </c>
    </row>
    <row r="140" spans="1:3" x14ac:dyDescent="0.25">
      <c r="A140" t="s">
        <v>154</v>
      </c>
      <c r="B140">
        <v>-1000</v>
      </c>
      <c r="C140">
        <v>1000</v>
      </c>
    </row>
    <row r="141" spans="1:3" x14ac:dyDescent="0.25">
      <c r="A141" t="s">
        <v>144</v>
      </c>
      <c r="B141">
        <v>0</v>
      </c>
      <c r="C141">
        <v>1000</v>
      </c>
    </row>
    <row r="142" spans="1:3" x14ac:dyDescent="0.25">
      <c r="A142" t="s">
        <v>155</v>
      </c>
      <c r="B142">
        <v>-1000</v>
      </c>
      <c r="C142">
        <v>1000</v>
      </c>
    </row>
    <row r="143" spans="1:3" x14ac:dyDescent="0.25">
      <c r="A143" t="s">
        <v>156</v>
      </c>
      <c r="B143">
        <v>-1000</v>
      </c>
      <c r="C143">
        <v>1000</v>
      </c>
    </row>
    <row r="144" spans="1:3" x14ac:dyDescent="0.25">
      <c r="A144" t="s">
        <v>157</v>
      </c>
      <c r="B144">
        <v>-1000</v>
      </c>
      <c r="C144">
        <v>1000</v>
      </c>
    </row>
    <row r="145" spans="1:3" x14ac:dyDescent="0.25">
      <c r="A145" t="s">
        <v>158</v>
      </c>
      <c r="B145">
        <v>-1000</v>
      </c>
      <c r="C145">
        <v>1000</v>
      </c>
    </row>
    <row r="146" spans="1:3" x14ac:dyDescent="0.25">
      <c r="A146" t="s">
        <v>159</v>
      </c>
      <c r="B146">
        <v>-1000</v>
      </c>
      <c r="C146">
        <v>1000</v>
      </c>
    </row>
    <row r="147" spans="1:3" x14ac:dyDescent="0.25">
      <c r="A147" t="s">
        <v>385</v>
      </c>
      <c r="B147">
        <v>-1000</v>
      </c>
      <c r="C147">
        <v>1000</v>
      </c>
    </row>
    <row r="148" spans="1:3" x14ac:dyDescent="0.25">
      <c r="A148" t="s">
        <v>160</v>
      </c>
      <c r="B148">
        <v>-1000</v>
      </c>
      <c r="C148">
        <v>1000</v>
      </c>
    </row>
    <row r="149" spans="1:3" x14ac:dyDescent="0.25">
      <c r="A149" t="s">
        <v>161</v>
      </c>
      <c r="B149">
        <v>-1000</v>
      </c>
      <c r="C149">
        <v>1000</v>
      </c>
    </row>
    <row r="150" spans="1:3" x14ac:dyDescent="0.25">
      <c r="A150" t="s">
        <v>162</v>
      </c>
      <c r="B150">
        <v>-1000</v>
      </c>
      <c r="C150">
        <v>1000</v>
      </c>
    </row>
    <row r="151" spans="1:3" x14ac:dyDescent="0.25">
      <c r="A151" t="s">
        <v>163</v>
      </c>
      <c r="B151">
        <v>-1000</v>
      </c>
      <c r="C151">
        <v>1000</v>
      </c>
    </row>
    <row r="152" spans="1:3" x14ac:dyDescent="0.25">
      <c r="A152" t="s">
        <v>164</v>
      </c>
      <c r="B152">
        <v>-1000</v>
      </c>
      <c r="C152">
        <v>1000</v>
      </c>
    </row>
    <row r="153" spans="1:3" x14ac:dyDescent="0.25">
      <c r="A153" t="s">
        <v>165</v>
      </c>
      <c r="B153">
        <v>-1000</v>
      </c>
      <c r="C153">
        <v>1000</v>
      </c>
    </row>
    <row r="154" spans="1:3" x14ac:dyDescent="0.25">
      <c r="A154" t="s">
        <v>166</v>
      </c>
      <c r="B154">
        <v>-1000</v>
      </c>
      <c r="C154">
        <v>1000</v>
      </c>
    </row>
    <row r="155" spans="1:3" x14ac:dyDescent="0.25">
      <c r="A155" t="s">
        <v>167</v>
      </c>
      <c r="B155">
        <v>-1000</v>
      </c>
      <c r="C155">
        <v>1000</v>
      </c>
    </row>
    <row r="156" spans="1:3" x14ac:dyDescent="0.25">
      <c r="A156" t="s">
        <v>335</v>
      </c>
      <c r="B156">
        <v>-1000</v>
      </c>
      <c r="C156">
        <v>1000</v>
      </c>
    </row>
    <row r="157" spans="1:3" x14ac:dyDescent="0.25">
      <c r="A157" t="s">
        <v>168</v>
      </c>
      <c r="B157">
        <v>-1000</v>
      </c>
      <c r="C157">
        <v>1000</v>
      </c>
    </row>
    <row r="158" spans="1:3" x14ac:dyDescent="0.25">
      <c r="A158" t="s">
        <v>169</v>
      </c>
      <c r="B158">
        <v>-1000</v>
      </c>
      <c r="C158">
        <v>1000</v>
      </c>
    </row>
    <row r="159" spans="1:3" x14ac:dyDescent="0.25">
      <c r="A159" t="s">
        <v>170</v>
      </c>
      <c r="B159">
        <v>-1000</v>
      </c>
      <c r="C159">
        <v>1000</v>
      </c>
    </row>
    <row r="160" spans="1:3" x14ac:dyDescent="0.25">
      <c r="A160" t="s">
        <v>171</v>
      </c>
      <c r="B160">
        <v>-1000</v>
      </c>
      <c r="C160">
        <v>1000</v>
      </c>
    </row>
    <row r="161" spans="1:3" x14ac:dyDescent="0.25">
      <c r="A161" t="s">
        <v>173</v>
      </c>
      <c r="B161">
        <v>-1000</v>
      </c>
      <c r="C161">
        <v>1000</v>
      </c>
    </row>
    <row r="162" spans="1:3" x14ac:dyDescent="0.25">
      <c r="A162" t="s">
        <v>174</v>
      </c>
      <c r="B162">
        <v>-1000</v>
      </c>
      <c r="C162">
        <v>1000</v>
      </c>
    </row>
    <row r="163" spans="1:3" x14ac:dyDescent="0.25">
      <c r="A163" t="s">
        <v>175</v>
      </c>
      <c r="B163">
        <v>-1000</v>
      </c>
      <c r="C163">
        <v>1000</v>
      </c>
    </row>
    <row r="164" spans="1:3" x14ac:dyDescent="0.25">
      <c r="A164" t="s">
        <v>435</v>
      </c>
      <c r="B164">
        <v>-1000</v>
      </c>
      <c r="C164">
        <v>1000</v>
      </c>
    </row>
    <row r="165" spans="1:3" x14ac:dyDescent="0.25">
      <c r="A165" t="s">
        <v>176</v>
      </c>
      <c r="B165">
        <v>-1000</v>
      </c>
      <c r="C165">
        <v>1000</v>
      </c>
    </row>
    <row r="166" spans="1:3" x14ac:dyDescent="0.25">
      <c r="A166" t="s">
        <v>177</v>
      </c>
      <c r="B166">
        <v>-1000</v>
      </c>
      <c r="C166">
        <v>1000</v>
      </c>
    </row>
    <row r="167" spans="1:3" x14ac:dyDescent="0.25">
      <c r="A167" t="s">
        <v>363</v>
      </c>
      <c r="B167">
        <v>0</v>
      </c>
      <c r="C167">
        <v>0</v>
      </c>
    </row>
    <row r="168" spans="1:3" x14ac:dyDescent="0.25">
      <c r="A168" t="s">
        <v>336</v>
      </c>
      <c r="B168">
        <v>-1000</v>
      </c>
      <c r="C168">
        <v>1000</v>
      </c>
    </row>
    <row r="169" spans="1:3" x14ac:dyDescent="0.25">
      <c r="A169" t="s">
        <v>360</v>
      </c>
      <c r="B169">
        <v>100</v>
      </c>
      <c r="C169">
        <v>100</v>
      </c>
    </row>
    <row r="170" spans="1:3" x14ac:dyDescent="0.25">
      <c r="A170" t="s">
        <v>178</v>
      </c>
      <c r="B170">
        <f>val!C7</f>
        <v>194.96583861362987</v>
      </c>
      <c r="C170">
        <f>val!C7</f>
        <v>194.96583861362987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08C8D-C0A9-49B0-8C23-77D6FE6792D1}">
  <dimension ref="A1:C170"/>
  <sheetViews>
    <sheetView topLeftCell="A28" workbookViewId="0">
      <selection activeCell="A37" sqref="A37"/>
    </sheetView>
  </sheetViews>
  <sheetFormatPr defaultRowHeight="15" x14ac:dyDescent="0.25"/>
  <cols>
    <col min="1" max="1" width="18.5703125" bestFit="1" customWidth="1"/>
  </cols>
  <sheetData>
    <row r="1" spans="1:3" x14ac:dyDescent="0.25">
      <c r="A1" t="s">
        <v>5</v>
      </c>
      <c r="B1" t="s">
        <v>352</v>
      </c>
      <c r="C1" t="s">
        <v>353</v>
      </c>
    </row>
    <row r="2" spans="1:3" x14ac:dyDescent="0.25">
      <c r="A2" t="s">
        <v>39</v>
      </c>
      <c r="B2">
        <v>-1000</v>
      </c>
      <c r="C2">
        <v>1000</v>
      </c>
    </row>
    <row r="3" spans="1:3" x14ac:dyDescent="0.25">
      <c r="A3" t="s">
        <v>359</v>
      </c>
      <c r="B3">
        <v>-1000</v>
      </c>
      <c r="C3">
        <v>1000</v>
      </c>
    </row>
    <row r="4" spans="1:3" x14ac:dyDescent="0.25">
      <c r="A4" t="s">
        <v>386</v>
      </c>
      <c r="B4">
        <v>0</v>
      </c>
      <c r="C4">
        <v>0</v>
      </c>
    </row>
    <row r="5" spans="1:3" x14ac:dyDescent="0.25">
      <c r="A5" t="s">
        <v>358</v>
      </c>
      <c r="B5">
        <v>0</v>
      </c>
      <c r="C5">
        <v>0</v>
      </c>
    </row>
    <row r="6" spans="1:3" x14ac:dyDescent="0.25">
      <c r="A6" t="s">
        <v>40</v>
      </c>
      <c r="B6">
        <v>-1000</v>
      </c>
      <c r="C6">
        <v>1000</v>
      </c>
    </row>
    <row r="7" spans="1:3" x14ac:dyDescent="0.25">
      <c r="A7" t="s">
        <v>41</v>
      </c>
      <c r="B7">
        <v>-1000</v>
      </c>
      <c r="C7">
        <v>1000</v>
      </c>
    </row>
    <row r="8" spans="1:3" x14ac:dyDescent="0.25">
      <c r="A8" t="s">
        <v>42</v>
      </c>
      <c r="B8">
        <v>-1000</v>
      </c>
      <c r="C8">
        <v>1000</v>
      </c>
    </row>
    <row r="9" spans="1:3" x14ac:dyDescent="0.25">
      <c r="A9" t="s">
        <v>43</v>
      </c>
      <c r="B9">
        <v>-1000</v>
      </c>
      <c r="C9">
        <v>1000</v>
      </c>
    </row>
    <row r="10" spans="1:3" x14ac:dyDescent="0.25">
      <c r="A10" t="s">
        <v>44</v>
      </c>
      <c r="B10">
        <v>-1000</v>
      </c>
      <c r="C10">
        <v>1000</v>
      </c>
    </row>
    <row r="11" spans="1:3" x14ac:dyDescent="0.25">
      <c r="A11" t="s">
        <v>45</v>
      </c>
      <c r="B11">
        <v>0</v>
      </c>
      <c r="C11">
        <v>1000</v>
      </c>
    </row>
    <row r="12" spans="1:3" x14ac:dyDescent="0.25">
      <c r="A12" t="s">
        <v>324</v>
      </c>
      <c r="B12">
        <v>0</v>
      </c>
      <c r="C12">
        <v>1000</v>
      </c>
    </row>
    <row r="13" spans="1:3" x14ac:dyDescent="0.25">
      <c r="A13" t="s">
        <v>371</v>
      </c>
      <c r="B13">
        <v>-1000</v>
      </c>
      <c r="C13">
        <v>1000</v>
      </c>
    </row>
    <row r="14" spans="1:3" x14ac:dyDescent="0.25">
      <c r="A14" t="s">
        <v>371</v>
      </c>
      <c r="B14">
        <v>-1000</v>
      </c>
      <c r="C14">
        <v>1000</v>
      </c>
    </row>
    <row r="15" spans="1:3" x14ac:dyDescent="0.25">
      <c r="A15" t="s">
        <v>46</v>
      </c>
      <c r="B15">
        <v>-1000</v>
      </c>
      <c r="C15">
        <v>1000</v>
      </c>
    </row>
    <row r="16" spans="1:3" x14ac:dyDescent="0.25">
      <c r="A16" t="s">
        <v>47</v>
      </c>
      <c r="B16">
        <v>-1000</v>
      </c>
      <c r="C16">
        <v>1000</v>
      </c>
    </row>
    <row r="17" spans="1:3" x14ac:dyDescent="0.25">
      <c r="A17" t="s">
        <v>48</v>
      </c>
      <c r="B17">
        <v>-1000</v>
      </c>
      <c r="C17">
        <v>1000</v>
      </c>
    </row>
    <row r="18" spans="1:3" x14ac:dyDescent="0.25">
      <c r="A18" t="s">
        <v>49</v>
      </c>
      <c r="B18">
        <v>-1000</v>
      </c>
      <c r="C18">
        <v>1000</v>
      </c>
    </row>
    <row r="19" spans="1:3" x14ac:dyDescent="0.25">
      <c r="A19" t="s">
        <v>50</v>
      </c>
      <c r="B19">
        <v>-1000</v>
      </c>
      <c r="C19">
        <v>1000</v>
      </c>
    </row>
    <row r="20" spans="1:3" x14ac:dyDescent="0.25">
      <c r="A20" t="s">
        <v>51</v>
      </c>
      <c r="B20">
        <v>-1000</v>
      </c>
      <c r="C20">
        <v>1000</v>
      </c>
    </row>
    <row r="21" spans="1:3" x14ac:dyDescent="0.25">
      <c r="A21" t="s">
        <v>52</v>
      </c>
      <c r="B21">
        <v>-1000</v>
      </c>
      <c r="C21">
        <v>1000</v>
      </c>
    </row>
    <row r="22" spans="1:3" x14ac:dyDescent="0.25">
      <c r="A22" t="s">
        <v>53</v>
      </c>
      <c r="B22">
        <v>-1000</v>
      </c>
      <c r="C22">
        <v>1000</v>
      </c>
    </row>
    <row r="23" spans="1:3" x14ac:dyDescent="0.25">
      <c r="A23" t="s">
        <v>54</v>
      </c>
      <c r="B23">
        <v>-1000</v>
      </c>
      <c r="C23">
        <v>1000</v>
      </c>
    </row>
    <row r="24" spans="1:3" x14ac:dyDescent="0.25">
      <c r="A24" t="s">
        <v>55</v>
      </c>
      <c r="B24">
        <v>-1000</v>
      </c>
      <c r="C24">
        <v>1000</v>
      </c>
    </row>
    <row r="25" spans="1:3" x14ac:dyDescent="0.25">
      <c r="A25" t="s">
        <v>56</v>
      </c>
      <c r="B25">
        <v>-1000</v>
      </c>
      <c r="C25">
        <v>1000</v>
      </c>
    </row>
    <row r="26" spans="1:3" x14ac:dyDescent="0.25">
      <c r="A26" t="s">
        <v>57</v>
      </c>
      <c r="B26">
        <v>-1000</v>
      </c>
      <c r="C26">
        <v>1000</v>
      </c>
    </row>
    <row r="27" spans="1:3" x14ac:dyDescent="0.25">
      <c r="A27" t="s">
        <v>58</v>
      </c>
      <c r="B27">
        <v>-1000</v>
      </c>
      <c r="C27">
        <v>1000</v>
      </c>
    </row>
    <row r="28" spans="1:3" x14ac:dyDescent="0.25">
      <c r="A28" t="s">
        <v>59</v>
      </c>
      <c r="B28">
        <v>-1000</v>
      </c>
      <c r="C28">
        <v>1000</v>
      </c>
    </row>
    <row r="29" spans="1:3" x14ac:dyDescent="0.25">
      <c r="A29" t="s">
        <v>325</v>
      </c>
      <c r="B29">
        <v>-1000</v>
      </c>
      <c r="C29">
        <v>1000</v>
      </c>
    </row>
    <row r="30" spans="1:3" x14ac:dyDescent="0.25">
      <c r="A30" t="s">
        <v>60</v>
      </c>
      <c r="B30">
        <v>-1000</v>
      </c>
      <c r="C30">
        <v>1000</v>
      </c>
    </row>
    <row r="31" spans="1:3" x14ac:dyDescent="0.25">
      <c r="A31" t="s">
        <v>61</v>
      </c>
      <c r="B31">
        <v>-1000</v>
      </c>
      <c r="C31">
        <v>1000</v>
      </c>
    </row>
    <row r="32" spans="1:3" x14ac:dyDescent="0.25">
      <c r="A32" t="s">
        <v>62</v>
      </c>
      <c r="B32">
        <v>-1000</v>
      </c>
      <c r="C32">
        <v>1000</v>
      </c>
    </row>
    <row r="33" spans="1:3" x14ac:dyDescent="0.25">
      <c r="A33" t="s">
        <v>63</v>
      </c>
      <c r="B33">
        <v>-1000</v>
      </c>
      <c r="C33">
        <v>1000</v>
      </c>
    </row>
    <row r="34" spans="1:3" x14ac:dyDescent="0.25">
      <c r="A34" t="s">
        <v>64</v>
      </c>
      <c r="B34">
        <v>-1000</v>
      </c>
      <c r="C34">
        <v>1000</v>
      </c>
    </row>
    <row r="35" spans="1:3" x14ac:dyDescent="0.25">
      <c r="A35" t="s">
        <v>65</v>
      </c>
      <c r="B35">
        <v>-1000</v>
      </c>
      <c r="C35">
        <v>1000</v>
      </c>
    </row>
    <row r="36" spans="1:3" x14ac:dyDescent="0.25">
      <c r="A36" t="s">
        <v>66</v>
      </c>
      <c r="B36">
        <v>-1000</v>
      </c>
      <c r="C36">
        <v>1000</v>
      </c>
    </row>
    <row r="37" spans="1:3" x14ac:dyDescent="0.25">
      <c r="A37" t="s">
        <v>442</v>
      </c>
      <c r="B37">
        <v>-1000</v>
      </c>
      <c r="C37">
        <v>1000</v>
      </c>
    </row>
    <row r="38" spans="1:3" x14ac:dyDescent="0.25">
      <c r="A38" t="s">
        <v>438</v>
      </c>
      <c r="B38">
        <v>0</v>
      </c>
      <c r="C38">
        <v>0</v>
      </c>
    </row>
    <row r="39" spans="1:3" x14ac:dyDescent="0.25">
      <c r="A39" t="s">
        <v>326</v>
      </c>
      <c r="B39">
        <v>-1000</v>
      </c>
      <c r="C39">
        <v>1000</v>
      </c>
    </row>
    <row r="40" spans="1:3" x14ac:dyDescent="0.25">
      <c r="A40" t="s">
        <v>369</v>
      </c>
      <c r="B40">
        <v>-1000</v>
      </c>
      <c r="C40">
        <v>1000</v>
      </c>
    </row>
    <row r="41" spans="1:3" x14ac:dyDescent="0.25">
      <c r="A41" t="s">
        <v>67</v>
      </c>
      <c r="B41">
        <v>-1000</v>
      </c>
      <c r="C41">
        <v>1000</v>
      </c>
    </row>
    <row r="42" spans="1:3" x14ac:dyDescent="0.25">
      <c r="A42" t="s">
        <v>327</v>
      </c>
      <c r="B42">
        <v>-1000</v>
      </c>
      <c r="C42">
        <v>1000</v>
      </c>
    </row>
    <row r="43" spans="1:3" x14ac:dyDescent="0.25">
      <c r="A43" t="s">
        <v>68</v>
      </c>
      <c r="B43">
        <v>-1000</v>
      </c>
      <c r="C43">
        <v>1000</v>
      </c>
    </row>
    <row r="44" spans="1:3" x14ac:dyDescent="0.25">
      <c r="A44" t="s">
        <v>69</v>
      </c>
      <c r="B44">
        <v>-1000</v>
      </c>
      <c r="C44">
        <v>1000</v>
      </c>
    </row>
    <row r="45" spans="1:3" x14ac:dyDescent="0.25">
      <c r="A45" t="s">
        <v>70</v>
      </c>
      <c r="B45">
        <v>0</v>
      </c>
      <c r="C45">
        <v>0</v>
      </c>
    </row>
    <row r="46" spans="1:3" x14ac:dyDescent="0.25">
      <c r="A46" t="s">
        <v>71</v>
      </c>
      <c r="B46">
        <v>-1000</v>
      </c>
      <c r="C46">
        <v>1000</v>
      </c>
    </row>
    <row r="47" spans="1:3" x14ac:dyDescent="0.25">
      <c r="A47" t="s">
        <v>72</v>
      </c>
      <c r="B47">
        <v>-1000</v>
      </c>
      <c r="C47">
        <v>1000</v>
      </c>
    </row>
    <row r="48" spans="1:3" x14ac:dyDescent="0.25">
      <c r="A48" t="s">
        <v>73</v>
      </c>
      <c r="B48">
        <v>-1000</v>
      </c>
      <c r="C48">
        <v>1000</v>
      </c>
    </row>
    <row r="49" spans="1:3" x14ac:dyDescent="0.25">
      <c r="A49" t="s">
        <v>74</v>
      </c>
      <c r="B49">
        <v>-1000</v>
      </c>
      <c r="C49">
        <v>1000</v>
      </c>
    </row>
    <row r="50" spans="1:3" x14ac:dyDescent="0.25">
      <c r="A50" t="s">
        <v>75</v>
      </c>
      <c r="B50">
        <v>-1000</v>
      </c>
      <c r="C50">
        <v>1000</v>
      </c>
    </row>
    <row r="51" spans="1:3" x14ac:dyDescent="0.25">
      <c r="A51" t="s">
        <v>76</v>
      </c>
      <c r="B51">
        <v>-1000</v>
      </c>
      <c r="C51">
        <v>1000</v>
      </c>
    </row>
    <row r="52" spans="1:3" x14ac:dyDescent="0.25">
      <c r="A52" t="s">
        <v>77</v>
      </c>
      <c r="B52">
        <v>-1000</v>
      </c>
      <c r="C52">
        <v>1000</v>
      </c>
    </row>
    <row r="53" spans="1:3" x14ac:dyDescent="0.25">
      <c r="A53" t="s">
        <v>78</v>
      </c>
      <c r="B53">
        <v>-1000</v>
      </c>
      <c r="C53">
        <v>1000</v>
      </c>
    </row>
    <row r="54" spans="1:3" x14ac:dyDescent="0.25">
      <c r="A54" t="s">
        <v>79</v>
      </c>
      <c r="B54">
        <v>-1000</v>
      </c>
      <c r="C54">
        <v>1000</v>
      </c>
    </row>
    <row r="55" spans="1:3" x14ac:dyDescent="0.25">
      <c r="A55" t="s">
        <v>80</v>
      </c>
      <c r="B55">
        <v>-1000</v>
      </c>
      <c r="C55">
        <v>1000</v>
      </c>
    </row>
    <row r="56" spans="1:3" x14ac:dyDescent="0.25">
      <c r="A56" t="s">
        <v>81</v>
      </c>
      <c r="B56">
        <v>-1000</v>
      </c>
      <c r="C56">
        <v>1000</v>
      </c>
    </row>
    <row r="57" spans="1:3" x14ac:dyDescent="0.25">
      <c r="A57" t="s">
        <v>82</v>
      </c>
      <c r="B57">
        <v>-1000</v>
      </c>
      <c r="C57">
        <v>1000</v>
      </c>
    </row>
    <row r="58" spans="1:3" x14ac:dyDescent="0.25">
      <c r="A58" t="s">
        <v>83</v>
      </c>
      <c r="B58">
        <v>-1000</v>
      </c>
      <c r="C58">
        <v>1000</v>
      </c>
    </row>
    <row r="59" spans="1:3" x14ac:dyDescent="0.25">
      <c r="A59" t="s">
        <v>84</v>
      </c>
      <c r="B59">
        <v>-1000</v>
      </c>
      <c r="C59">
        <v>1000</v>
      </c>
    </row>
    <row r="60" spans="1:3" x14ac:dyDescent="0.25">
      <c r="A60" t="s">
        <v>365</v>
      </c>
      <c r="B60">
        <v>0</v>
      </c>
      <c r="C60">
        <v>0</v>
      </c>
    </row>
    <row r="61" spans="1:3" x14ac:dyDescent="0.25">
      <c r="A61" t="s">
        <v>328</v>
      </c>
      <c r="B61">
        <v>-1000</v>
      </c>
      <c r="C61">
        <v>1000</v>
      </c>
    </row>
    <row r="62" spans="1:3" x14ac:dyDescent="0.25">
      <c r="A62" t="s">
        <v>85</v>
      </c>
      <c r="B62">
        <v>-1000</v>
      </c>
      <c r="C62">
        <v>1000</v>
      </c>
    </row>
    <row r="63" spans="1:3" x14ac:dyDescent="0.25">
      <c r="A63" t="s">
        <v>86</v>
      </c>
      <c r="B63">
        <v>-1000</v>
      </c>
      <c r="C63">
        <v>1000</v>
      </c>
    </row>
    <row r="64" spans="1:3" x14ac:dyDescent="0.25">
      <c r="A64" t="s">
        <v>87</v>
      </c>
      <c r="B64">
        <v>-1000</v>
      </c>
      <c r="C64">
        <v>1000</v>
      </c>
    </row>
    <row r="65" spans="1:3" x14ac:dyDescent="0.25">
      <c r="A65" t="s">
        <v>88</v>
      </c>
      <c r="B65">
        <v>-1000</v>
      </c>
      <c r="C65">
        <v>1000</v>
      </c>
    </row>
    <row r="66" spans="1:3" x14ac:dyDescent="0.25">
      <c r="A66" t="s">
        <v>89</v>
      </c>
      <c r="B66">
        <v>-1000</v>
      </c>
      <c r="C66">
        <v>1000</v>
      </c>
    </row>
    <row r="67" spans="1:3" x14ac:dyDescent="0.25">
      <c r="A67" t="s">
        <v>90</v>
      </c>
      <c r="B67">
        <v>0</v>
      </c>
      <c r="C67">
        <v>1000</v>
      </c>
    </row>
    <row r="68" spans="1:3" x14ac:dyDescent="0.25">
      <c r="A68" t="s">
        <v>329</v>
      </c>
      <c r="B68">
        <v>-1000</v>
      </c>
      <c r="C68">
        <v>1000</v>
      </c>
    </row>
    <row r="69" spans="1:3" x14ac:dyDescent="0.25">
      <c r="A69" t="s">
        <v>91</v>
      </c>
      <c r="B69">
        <v>-1000</v>
      </c>
      <c r="C69">
        <v>1000</v>
      </c>
    </row>
    <row r="70" spans="1:3" x14ac:dyDescent="0.25">
      <c r="A70" t="s">
        <v>92</v>
      </c>
      <c r="B70">
        <v>-1000</v>
      </c>
      <c r="C70">
        <v>1000</v>
      </c>
    </row>
    <row r="71" spans="1:3" x14ac:dyDescent="0.25">
      <c r="A71" t="s">
        <v>93</v>
      </c>
      <c r="B71">
        <v>-1000</v>
      </c>
      <c r="C71">
        <v>1000</v>
      </c>
    </row>
    <row r="72" spans="1:3" x14ac:dyDescent="0.25">
      <c r="A72" t="s">
        <v>94</v>
      </c>
      <c r="B72">
        <v>-1000</v>
      </c>
      <c r="C72">
        <v>1000</v>
      </c>
    </row>
    <row r="73" spans="1:3" x14ac:dyDescent="0.25">
      <c r="A73" t="s">
        <v>330</v>
      </c>
      <c r="B73">
        <v>0</v>
      </c>
      <c r="C73">
        <v>1000</v>
      </c>
    </row>
    <row r="74" spans="1:3" x14ac:dyDescent="0.25">
      <c r="A74" t="s">
        <v>95</v>
      </c>
      <c r="B74">
        <v>-1000</v>
      </c>
      <c r="C74">
        <v>1000</v>
      </c>
    </row>
    <row r="75" spans="1:3" x14ac:dyDescent="0.25">
      <c r="A75" t="s">
        <v>331</v>
      </c>
      <c r="B75">
        <v>-1000</v>
      </c>
      <c r="C75">
        <v>1000</v>
      </c>
    </row>
    <row r="76" spans="1:3" x14ac:dyDescent="0.25">
      <c r="A76" t="s">
        <v>96</v>
      </c>
      <c r="B76">
        <v>-1000</v>
      </c>
      <c r="C76">
        <v>1000</v>
      </c>
    </row>
    <row r="77" spans="1:3" x14ac:dyDescent="0.25">
      <c r="A77" t="s">
        <v>97</v>
      </c>
      <c r="B77">
        <v>-1000</v>
      </c>
      <c r="C77">
        <v>1000</v>
      </c>
    </row>
    <row r="78" spans="1:3" x14ac:dyDescent="0.25">
      <c r="A78" t="s">
        <v>98</v>
      </c>
      <c r="B78">
        <v>-1000</v>
      </c>
      <c r="C78">
        <v>1000</v>
      </c>
    </row>
    <row r="79" spans="1:3" x14ac:dyDescent="0.25">
      <c r="A79" t="s">
        <v>99</v>
      </c>
      <c r="B79">
        <v>-1000</v>
      </c>
      <c r="C79">
        <v>1000</v>
      </c>
    </row>
    <row r="80" spans="1:3" x14ac:dyDescent="0.25">
      <c r="A80" t="s">
        <v>100</v>
      </c>
      <c r="B80">
        <v>-1000</v>
      </c>
      <c r="C80">
        <v>1000</v>
      </c>
    </row>
    <row r="81" spans="1:3" x14ac:dyDescent="0.25">
      <c r="A81" t="s">
        <v>101</v>
      </c>
      <c r="B81">
        <v>-1000</v>
      </c>
      <c r="C81">
        <v>1000</v>
      </c>
    </row>
    <row r="82" spans="1:3" x14ac:dyDescent="0.25">
      <c r="A82" t="s">
        <v>102</v>
      </c>
      <c r="B82">
        <v>-1000</v>
      </c>
      <c r="C82">
        <v>1000</v>
      </c>
    </row>
    <row r="83" spans="1:3" x14ac:dyDescent="0.25">
      <c r="A83" t="s">
        <v>103</v>
      </c>
      <c r="B83">
        <v>-1000</v>
      </c>
      <c r="C83">
        <v>1000</v>
      </c>
    </row>
    <row r="84" spans="1:3" x14ac:dyDescent="0.25">
      <c r="A84" t="s">
        <v>104</v>
      </c>
      <c r="B84">
        <v>-1000</v>
      </c>
      <c r="C84">
        <v>1000</v>
      </c>
    </row>
    <row r="85" spans="1:3" x14ac:dyDescent="0.25">
      <c r="A85" t="s">
        <v>105</v>
      </c>
      <c r="B85">
        <v>-1000</v>
      </c>
      <c r="C85">
        <v>1000</v>
      </c>
    </row>
    <row r="86" spans="1:3" x14ac:dyDescent="0.25">
      <c r="A86" t="s">
        <v>106</v>
      </c>
      <c r="B86">
        <v>-1000</v>
      </c>
      <c r="C86">
        <v>1000</v>
      </c>
    </row>
    <row r="87" spans="1:3" x14ac:dyDescent="0.25">
      <c r="A87" t="s">
        <v>107</v>
      </c>
      <c r="B87">
        <v>-1000</v>
      </c>
      <c r="C87">
        <v>1000</v>
      </c>
    </row>
    <row r="88" spans="1:3" x14ac:dyDescent="0.25">
      <c r="A88" t="s">
        <v>108</v>
      </c>
      <c r="B88">
        <v>-1000</v>
      </c>
      <c r="C88">
        <v>1000</v>
      </c>
    </row>
    <row r="89" spans="1:3" x14ac:dyDescent="0.25">
      <c r="A89" t="s">
        <v>109</v>
      </c>
      <c r="B89">
        <v>-1000</v>
      </c>
      <c r="C89">
        <v>1000</v>
      </c>
    </row>
    <row r="90" spans="1:3" x14ac:dyDescent="0.25">
      <c r="A90" t="s">
        <v>110</v>
      </c>
      <c r="B90">
        <v>-1000</v>
      </c>
      <c r="C90">
        <v>1000</v>
      </c>
    </row>
    <row r="91" spans="1:3" x14ac:dyDescent="0.25">
      <c r="A91" t="s">
        <v>111</v>
      </c>
      <c r="B91">
        <v>-1000</v>
      </c>
      <c r="C91">
        <v>1000</v>
      </c>
    </row>
    <row r="92" spans="1:3" x14ac:dyDescent="0.25">
      <c r="A92" t="s">
        <v>112</v>
      </c>
      <c r="B92">
        <v>-1000</v>
      </c>
      <c r="C92">
        <v>1000</v>
      </c>
    </row>
    <row r="93" spans="1:3" x14ac:dyDescent="0.25">
      <c r="A93" t="s">
        <v>113</v>
      </c>
      <c r="B93">
        <v>-1000</v>
      </c>
      <c r="C93">
        <v>1000</v>
      </c>
    </row>
    <row r="94" spans="1:3" x14ac:dyDescent="0.25">
      <c r="A94" t="s">
        <v>114</v>
      </c>
      <c r="B94">
        <v>-1000</v>
      </c>
      <c r="C94">
        <v>1000</v>
      </c>
    </row>
    <row r="95" spans="1:3" x14ac:dyDescent="0.25">
      <c r="A95" t="s">
        <v>115</v>
      </c>
      <c r="B95">
        <v>-1000</v>
      </c>
      <c r="C95">
        <v>1000</v>
      </c>
    </row>
    <row r="96" spans="1:3" x14ac:dyDescent="0.25">
      <c r="A96" t="s">
        <v>116</v>
      </c>
      <c r="B96">
        <v>-1000</v>
      </c>
      <c r="C96">
        <v>1000</v>
      </c>
    </row>
    <row r="97" spans="1:3" x14ac:dyDescent="0.25">
      <c r="A97" t="s">
        <v>117</v>
      </c>
      <c r="B97">
        <v>-1000</v>
      </c>
      <c r="C97">
        <v>1000</v>
      </c>
    </row>
    <row r="98" spans="1:3" x14ac:dyDescent="0.25">
      <c r="A98" t="s">
        <v>118</v>
      </c>
      <c r="B98">
        <v>-1000</v>
      </c>
      <c r="C98">
        <v>1000</v>
      </c>
    </row>
    <row r="99" spans="1:3" x14ac:dyDescent="0.25">
      <c r="A99" t="s">
        <v>119</v>
      </c>
      <c r="B99">
        <v>-1000</v>
      </c>
      <c r="C99">
        <v>1000</v>
      </c>
    </row>
    <row r="100" spans="1:3" x14ac:dyDescent="0.25">
      <c r="A100" t="s">
        <v>120</v>
      </c>
      <c r="B100">
        <v>-1000</v>
      </c>
      <c r="C100">
        <v>1000</v>
      </c>
    </row>
    <row r="101" spans="1:3" x14ac:dyDescent="0.25">
      <c r="A101" t="s">
        <v>121</v>
      </c>
      <c r="B101">
        <v>-1000</v>
      </c>
      <c r="C101">
        <v>1000</v>
      </c>
    </row>
    <row r="102" spans="1:3" x14ac:dyDescent="0.25">
      <c r="A102" t="s">
        <v>122</v>
      </c>
      <c r="B102">
        <v>-1000</v>
      </c>
      <c r="C102">
        <v>1000</v>
      </c>
    </row>
    <row r="103" spans="1:3" x14ac:dyDescent="0.25">
      <c r="A103" t="s">
        <v>123</v>
      </c>
      <c r="B103">
        <v>-1000</v>
      </c>
      <c r="C103">
        <v>1000</v>
      </c>
    </row>
    <row r="104" spans="1:3" x14ac:dyDescent="0.25">
      <c r="A104" t="s">
        <v>124</v>
      </c>
      <c r="B104">
        <v>-1000</v>
      </c>
      <c r="C104">
        <v>1000</v>
      </c>
    </row>
    <row r="105" spans="1:3" x14ac:dyDescent="0.25">
      <c r="A105" t="s">
        <v>332</v>
      </c>
      <c r="B105">
        <v>-1000</v>
      </c>
      <c r="C105">
        <v>1000</v>
      </c>
    </row>
    <row r="106" spans="1:3" x14ac:dyDescent="0.25">
      <c r="A106" t="s">
        <v>333</v>
      </c>
      <c r="B106">
        <v>-1000</v>
      </c>
      <c r="C106">
        <v>1000</v>
      </c>
    </row>
    <row r="107" spans="1:3" x14ac:dyDescent="0.25">
      <c r="A107" t="s">
        <v>125</v>
      </c>
      <c r="B107">
        <v>-1000</v>
      </c>
      <c r="C107">
        <v>1000</v>
      </c>
    </row>
    <row r="108" spans="1:3" x14ac:dyDescent="0.25">
      <c r="A108" t="s">
        <v>126</v>
      </c>
      <c r="B108">
        <v>-1000</v>
      </c>
      <c r="C108">
        <v>1000</v>
      </c>
    </row>
    <row r="109" spans="1:3" x14ac:dyDescent="0.25">
      <c r="A109" t="s">
        <v>127</v>
      </c>
      <c r="B109">
        <v>-1000</v>
      </c>
      <c r="C109">
        <v>1000</v>
      </c>
    </row>
    <row r="110" spans="1:3" x14ac:dyDescent="0.25">
      <c r="A110" t="s">
        <v>128</v>
      </c>
      <c r="B110">
        <v>-1000</v>
      </c>
      <c r="C110">
        <v>1000</v>
      </c>
    </row>
    <row r="111" spans="1:3" x14ac:dyDescent="0.25">
      <c r="A111" t="s">
        <v>129</v>
      </c>
      <c r="B111">
        <v>-1000</v>
      </c>
      <c r="C111">
        <v>1000</v>
      </c>
    </row>
    <row r="112" spans="1:3" x14ac:dyDescent="0.25">
      <c r="A112" t="s">
        <v>130</v>
      </c>
      <c r="B112">
        <v>-1000</v>
      </c>
      <c r="C112">
        <v>1000</v>
      </c>
    </row>
    <row r="113" spans="1:3" x14ac:dyDescent="0.25">
      <c r="A113" t="s">
        <v>364</v>
      </c>
      <c r="B113">
        <v>-1000</v>
      </c>
      <c r="C113">
        <v>1000</v>
      </c>
    </row>
    <row r="114" spans="1:3" x14ac:dyDescent="0.25">
      <c r="A114" t="s">
        <v>131</v>
      </c>
      <c r="B114">
        <v>-1000</v>
      </c>
      <c r="C114">
        <v>1000</v>
      </c>
    </row>
    <row r="115" spans="1:3" x14ac:dyDescent="0.25">
      <c r="A115" t="s">
        <v>132</v>
      </c>
      <c r="B115">
        <v>-1000</v>
      </c>
      <c r="C115">
        <v>1000</v>
      </c>
    </row>
    <row r="116" spans="1:3" x14ac:dyDescent="0.25">
      <c r="A116" t="s">
        <v>334</v>
      </c>
      <c r="B116">
        <v>-1000</v>
      </c>
      <c r="C116">
        <v>1000</v>
      </c>
    </row>
    <row r="117" spans="1:3" x14ac:dyDescent="0.25">
      <c r="A117" t="s">
        <v>133</v>
      </c>
      <c r="B117">
        <v>-1000</v>
      </c>
      <c r="C117">
        <v>1000</v>
      </c>
    </row>
    <row r="118" spans="1:3" x14ac:dyDescent="0.25">
      <c r="A118" t="s">
        <v>135</v>
      </c>
      <c r="B118">
        <v>-1000</v>
      </c>
      <c r="C118">
        <v>1000</v>
      </c>
    </row>
    <row r="119" spans="1:3" x14ac:dyDescent="0.25">
      <c r="A119" t="s">
        <v>136</v>
      </c>
      <c r="B119">
        <v>-1000</v>
      </c>
      <c r="C119">
        <v>1000</v>
      </c>
    </row>
    <row r="120" spans="1:3" x14ac:dyDescent="0.25">
      <c r="A120" t="s">
        <v>137</v>
      </c>
      <c r="B120">
        <v>-1000</v>
      </c>
      <c r="C120">
        <v>1000</v>
      </c>
    </row>
    <row r="121" spans="1:3" x14ac:dyDescent="0.25">
      <c r="A121" t="s">
        <v>138</v>
      </c>
      <c r="B121">
        <v>-1000</v>
      </c>
      <c r="C121">
        <v>1000</v>
      </c>
    </row>
    <row r="122" spans="1:3" x14ac:dyDescent="0.25">
      <c r="A122" t="s">
        <v>139</v>
      </c>
      <c r="B122">
        <v>-1000</v>
      </c>
      <c r="C122">
        <v>1000</v>
      </c>
    </row>
    <row r="123" spans="1:3" x14ac:dyDescent="0.25">
      <c r="A123" t="s">
        <v>140</v>
      </c>
      <c r="B123">
        <v>-1000</v>
      </c>
      <c r="C123">
        <v>1000</v>
      </c>
    </row>
    <row r="124" spans="1:3" x14ac:dyDescent="0.25">
      <c r="A124" t="s">
        <v>141</v>
      </c>
      <c r="B124">
        <v>-1000</v>
      </c>
      <c r="C124">
        <v>1000</v>
      </c>
    </row>
    <row r="125" spans="1:3" x14ac:dyDescent="0.25">
      <c r="A125" t="s">
        <v>142</v>
      </c>
      <c r="B125">
        <v>-1000</v>
      </c>
      <c r="C125">
        <v>1000</v>
      </c>
    </row>
    <row r="126" spans="1:3" x14ac:dyDescent="0.25">
      <c r="A126" t="s">
        <v>367</v>
      </c>
      <c r="B126">
        <v>0</v>
      </c>
      <c r="C126">
        <v>0</v>
      </c>
    </row>
    <row r="127" spans="1:3" x14ac:dyDescent="0.25">
      <c r="A127" t="s">
        <v>368</v>
      </c>
      <c r="B127">
        <v>0</v>
      </c>
      <c r="C127">
        <v>0</v>
      </c>
    </row>
    <row r="128" spans="1:3" x14ac:dyDescent="0.25">
      <c r="A128" t="s">
        <v>143</v>
      </c>
      <c r="B128">
        <v>-1000</v>
      </c>
      <c r="C128">
        <v>1000</v>
      </c>
    </row>
    <row r="129" spans="1:3" x14ac:dyDescent="0.25">
      <c r="A129" t="s">
        <v>366</v>
      </c>
      <c r="B129">
        <v>0</v>
      </c>
      <c r="C129">
        <v>0</v>
      </c>
    </row>
    <row r="130" spans="1:3" x14ac:dyDescent="0.25">
      <c r="A130" t="s">
        <v>145</v>
      </c>
      <c r="B130">
        <v>-1000</v>
      </c>
      <c r="C130">
        <v>1000</v>
      </c>
    </row>
    <row r="131" spans="1:3" x14ac:dyDescent="0.25">
      <c r="A131" t="s">
        <v>146</v>
      </c>
      <c r="B131">
        <v>0</v>
      </c>
      <c r="C131">
        <v>1000</v>
      </c>
    </row>
    <row r="132" spans="1:3" x14ac:dyDescent="0.25">
      <c r="A132" t="s">
        <v>147</v>
      </c>
      <c r="B132">
        <v>0</v>
      </c>
      <c r="C132">
        <v>1000</v>
      </c>
    </row>
    <row r="133" spans="1:3" x14ac:dyDescent="0.25">
      <c r="A133" t="s">
        <v>148</v>
      </c>
      <c r="B133">
        <v>-1000</v>
      </c>
      <c r="C133">
        <v>1000</v>
      </c>
    </row>
    <row r="134" spans="1:3" x14ac:dyDescent="0.25">
      <c r="A134" t="s">
        <v>149</v>
      </c>
      <c r="B134">
        <v>-1000</v>
      </c>
      <c r="C134">
        <v>1000</v>
      </c>
    </row>
    <row r="135" spans="1:3" x14ac:dyDescent="0.25">
      <c r="A135" t="s">
        <v>361</v>
      </c>
      <c r="B135">
        <v>0</v>
      </c>
      <c r="C135">
        <v>1000</v>
      </c>
    </row>
    <row r="136" spans="1:3" x14ac:dyDescent="0.25">
      <c r="A136" t="s">
        <v>362</v>
      </c>
      <c r="B136">
        <v>0</v>
      </c>
      <c r="C136">
        <v>1000</v>
      </c>
    </row>
    <row r="137" spans="1:3" x14ac:dyDescent="0.25">
      <c r="A137" t="s">
        <v>151</v>
      </c>
      <c r="B137">
        <v>-1000</v>
      </c>
      <c r="C137">
        <v>1000</v>
      </c>
    </row>
    <row r="138" spans="1:3" x14ac:dyDescent="0.25">
      <c r="A138" t="s">
        <v>152</v>
      </c>
      <c r="B138">
        <v>-1000</v>
      </c>
      <c r="C138">
        <v>1000</v>
      </c>
    </row>
    <row r="139" spans="1:3" x14ac:dyDescent="0.25">
      <c r="A139" t="s">
        <v>153</v>
      </c>
      <c r="B139">
        <v>-1000</v>
      </c>
      <c r="C139">
        <v>1000</v>
      </c>
    </row>
    <row r="140" spans="1:3" x14ac:dyDescent="0.25">
      <c r="A140" t="s">
        <v>154</v>
      </c>
      <c r="B140">
        <v>-1000</v>
      </c>
      <c r="C140">
        <v>1000</v>
      </c>
    </row>
    <row r="141" spans="1:3" x14ac:dyDescent="0.25">
      <c r="A141" t="s">
        <v>144</v>
      </c>
      <c r="B141">
        <v>0</v>
      </c>
      <c r="C141">
        <v>1000</v>
      </c>
    </row>
    <row r="142" spans="1:3" x14ac:dyDescent="0.25">
      <c r="A142" t="s">
        <v>155</v>
      </c>
      <c r="B142">
        <v>-1000</v>
      </c>
      <c r="C142">
        <v>1000</v>
      </c>
    </row>
    <row r="143" spans="1:3" x14ac:dyDescent="0.25">
      <c r="A143" t="s">
        <v>156</v>
      </c>
      <c r="B143">
        <v>-1000</v>
      </c>
      <c r="C143">
        <v>1000</v>
      </c>
    </row>
    <row r="144" spans="1:3" x14ac:dyDescent="0.25">
      <c r="A144" t="s">
        <v>157</v>
      </c>
      <c r="B144">
        <v>-1000</v>
      </c>
      <c r="C144">
        <v>1000</v>
      </c>
    </row>
    <row r="145" spans="1:3" x14ac:dyDescent="0.25">
      <c r="A145" t="s">
        <v>158</v>
      </c>
      <c r="B145">
        <v>-1000</v>
      </c>
      <c r="C145">
        <v>1000</v>
      </c>
    </row>
    <row r="146" spans="1:3" x14ac:dyDescent="0.25">
      <c r="A146" t="s">
        <v>159</v>
      </c>
      <c r="B146">
        <v>-1000</v>
      </c>
      <c r="C146">
        <v>1000</v>
      </c>
    </row>
    <row r="147" spans="1:3" x14ac:dyDescent="0.25">
      <c r="A147" t="s">
        <v>385</v>
      </c>
      <c r="B147">
        <v>-1000</v>
      </c>
      <c r="C147">
        <v>1000</v>
      </c>
    </row>
    <row r="148" spans="1:3" x14ac:dyDescent="0.25">
      <c r="A148" t="s">
        <v>160</v>
      </c>
      <c r="B148">
        <v>-1000</v>
      </c>
      <c r="C148">
        <v>1000</v>
      </c>
    </row>
    <row r="149" spans="1:3" x14ac:dyDescent="0.25">
      <c r="A149" t="s">
        <v>161</v>
      </c>
      <c r="B149">
        <v>-1000</v>
      </c>
      <c r="C149">
        <v>1000</v>
      </c>
    </row>
    <row r="150" spans="1:3" x14ac:dyDescent="0.25">
      <c r="A150" t="s">
        <v>162</v>
      </c>
      <c r="B150">
        <v>-1000</v>
      </c>
      <c r="C150">
        <v>1000</v>
      </c>
    </row>
    <row r="151" spans="1:3" x14ac:dyDescent="0.25">
      <c r="A151" t="s">
        <v>163</v>
      </c>
      <c r="B151">
        <v>-1000</v>
      </c>
      <c r="C151">
        <v>1000</v>
      </c>
    </row>
    <row r="152" spans="1:3" x14ac:dyDescent="0.25">
      <c r="A152" t="s">
        <v>164</v>
      </c>
      <c r="B152">
        <v>-1000</v>
      </c>
      <c r="C152">
        <v>1000</v>
      </c>
    </row>
    <row r="153" spans="1:3" x14ac:dyDescent="0.25">
      <c r="A153" t="s">
        <v>165</v>
      </c>
      <c r="B153">
        <v>-1000</v>
      </c>
      <c r="C153">
        <v>1000</v>
      </c>
    </row>
    <row r="154" spans="1:3" x14ac:dyDescent="0.25">
      <c r="A154" t="s">
        <v>166</v>
      </c>
      <c r="B154">
        <v>-1000</v>
      </c>
      <c r="C154">
        <v>1000</v>
      </c>
    </row>
    <row r="155" spans="1:3" x14ac:dyDescent="0.25">
      <c r="A155" t="s">
        <v>167</v>
      </c>
      <c r="B155">
        <v>-1000</v>
      </c>
      <c r="C155">
        <v>1000</v>
      </c>
    </row>
    <row r="156" spans="1:3" x14ac:dyDescent="0.25">
      <c r="A156" t="s">
        <v>335</v>
      </c>
      <c r="B156">
        <v>-1000</v>
      </c>
      <c r="C156">
        <v>1000</v>
      </c>
    </row>
    <row r="157" spans="1:3" x14ac:dyDescent="0.25">
      <c r="A157" t="s">
        <v>168</v>
      </c>
      <c r="B157">
        <v>-1000</v>
      </c>
      <c r="C157">
        <v>1000</v>
      </c>
    </row>
    <row r="158" spans="1:3" x14ac:dyDescent="0.25">
      <c r="A158" t="s">
        <v>169</v>
      </c>
      <c r="B158">
        <v>-1000</v>
      </c>
      <c r="C158">
        <v>1000</v>
      </c>
    </row>
    <row r="159" spans="1:3" x14ac:dyDescent="0.25">
      <c r="A159" t="s">
        <v>170</v>
      </c>
      <c r="B159">
        <v>-1000</v>
      </c>
      <c r="C159">
        <v>1000</v>
      </c>
    </row>
    <row r="160" spans="1:3" x14ac:dyDescent="0.25">
      <c r="A160" t="s">
        <v>171</v>
      </c>
      <c r="B160">
        <v>-1000</v>
      </c>
      <c r="C160">
        <v>1000</v>
      </c>
    </row>
    <row r="161" spans="1:3" x14ac:dyDescent="0.25">
      <c r="A161" t="s">
        <v>173</v>
      </c>
      <c r="B161">
        <v>-1000</v>
      </c>
      <c r="C161">
        <v>1000</v>
      </c>
    </row>
    <row r="162" spans="1:3" x14ac:dyDescent="0.25">
      <c r="A162" t="s">
        <v>174</v>
      </c>
      <c r="B162">
        <v>-1000</v>
      </c>
      <c r="C162">
        <v>1000</v>
      </c>
    </row>
    <row r="163" spans="1:3" x14ac:dyDescent="0.25">
      <c r="A163" t="s">
        <v>175</v>
      </c>
      <c r="B163">
        <v>-1000</v>
      </c>
      <c r="C163">
        <v>1000</v>
      </c>
    </row>
    <row r="164" spans="1:3" x14ac:dyDescent="0.25">
      <c r="A164" t="s">
        <v>435</v>
      </c>
      <c r="B164">
        <v>-1000</v>
      </c>
      <c r="C164">
        <v>1000</v>
      </c>
    </row>
    <row r="165" spans="1:3" x14ac:dyDescent="0.25">
      <c r="A165" t="s">
        <v>176</v>
      </c>
      <c r="B165">
        <v>-1000</v>
      </c>
      <c r="C165">
        <v>1000</v>
      </c>
    </row>
    <row r="166" spans="1:3" x14ac:dyDescent="0.25">
      <c r="A166" t="s">
        <v>177</v>
      </c>
      <c r="B166">
        <v>-1000</v>
      </c>
      <c r="C166">
        <v>1000</v>
      </c>
    </row>
    <row r="167" spans="1:3" x14ac:dyDescent="0.25">
      <c r="A167" t="s">
        <v>363</v>
      </c>
      <c r="B167">
        <v>0</v>
      </c>
      <c r="C167">
        <v>0</v>
      </c>
    </row>
    <row r="168" spans="1:3" x14ac:dyDescent="0.25">
      <c r="A168" t="s">
        <v>336</v>
      </c>
      <c r="B168">
        <v>-1000</v>
      </c>
      <c r="C168">
        <v>1000</v>
      </c>
    </row>
    <row r="169" spans="1:3" x14ac:dyDescent="0.25">
      <c r="A169" t="s">
        <v>360</v>
      </c>
      <c r="B169">
        <v>100</v>
      </c>
      <c r="C169">
        <v>100</v>
      </c>
    </row>
    <row r="170" spans="1:3" x14ac:dyDescent="0.25">
      <c r="A170" t="s">
        <v>178</v>
      </c>
      <c r="B170">
        <f>val!C7</f>
        <v>194.96583861362987</v>
      </c>
      <c r="C170">
        <f>val!C7</f>
        <v>194.96583861362987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A4ADA-6BA9-4D0B-AF56-3142DDF307A5}">
  <dimension ref="A1:C170"/>
  <sheetViews>
    <sheetView topLeftCell="A28" workbookViewId="0">
      <selection activeCell="A37" sqref="A37"/>
    </sheetView>
  </sheetViews>
  <sheetFormatPr defaultRowHeight="15" x14ac:dyDescent="0.25"/>
  <cols>
    <col min="1" max="1" width="18.5703125" bestFit="1" customWidth="1"/>
  </cols>
  <sheetData>
    <row r="1" spans="1:3" x14ac:dyDescent="0.25">
      <c r="A1" t="s">
        <v>5</v>
      </c>
      <c r="B1" t="s">
        <v>352</v>
      </c>
      <c r="C1" t="s">
        <v>353</v>
      </c>
    </row>
    <row r="2" spans="1:3" x14ac:dyDescent="0.25">
      <c r="A2" t="s">
        <v>39</v>
      </c>
      <c r="B2">
        <v>-1000</v>
      </c>
      <c r="C2">
        <v>1000</v>
      </c>
    </row>
    <row r="3" spans="1:3" x14ac:dyDescent="0.25">
      <c r="A3" t="s">
        <v>359</v>
      </c>
      <c r="B3">
        <v>-1000</v>
      </c>
      <c r="C3">
        <v>1000</v>
      </c>
    </row>
    <row r="4" spans="1:3" x14ac:dyDescent="0.25">
      <c r="A4" t="s">
        <v>386</v>
      </c>
      <c r="B4">
        <v>0</v>
      </c>
      <c r="C4">
        <v>0</v>
      </c>
    </row>
    <row r="5" spans="1:3" x14ac:dyDescent="0.25">
      <c r="A5" t="s">
        <v>358</v>
      </c>
      <c r="B5">
        <v>0</v>
      </c>
      <c r="C5">
        <v>0</v>
      </c>
    </row>
    <row r="6" spans="1:3" x14ac:dyDescent="0.25">
      <c r="A6" t="s">
        <v>40</v>
      </c>
      <c r="B6">
        <v>-1000</v>
      </c>
      <c r="C6">
        <v>1000</v>
      </c>
    </row>
    <row r="7" spans="1:3" x14ac:dyDescent="0.25">
      <c r="A7" t="s">
        <v>41</v>
      </c>
      <c r="B7">
        <v>-1000</v>
      </c>
      <c r="C7">
        <v>1000</v>
      </c>
    </row>
    <row r="8" spans="1:3" x14ac:dyDescent="0.25">
      <c r="A8" t="s">
        <v>42</v>
      </c>
      <c r="B8">
        <v>-1000</v>
      </c>
      <c r="C8">
        <v>1000</v>
      </c>
    </row>
    <row r="9" spans="1:3" x14ac:dyDescent="0.25">
      <c r="A9" t="s">
        <v>43</v>
      </c>
      <c r="B9">
        <v>-1000</v>
      </c>
      <c r="C9">
        <v>1000</v>
      </c>
    </row>
    <row r="10" spans="1:3" x14ac:dyDescent="0.25">
      <c r="A10" t="s">
        <v>44</v>
      </c>
      <c r="B10">
        <v>-1000</v>
      </c>
      <c r="C10">
        <v>1000</v>
      </c>
    </row>
    <row r="11" spans="1:3" x14ac:dyDescent="0.25">
      <c r="A11" t="s">
        <v>45</v>
      </c>
      <c r="B11">
        <v>0</v>
      </c>
      <c r="C11">
        <v>1000</v>
      </c>
    </row>
    <row r="12" spans="1:3" x14ac:dyDescent="0.25">
      <c r="A12" t="s">
        <v>324</v>
      </c>
      <c r="B12">
        <v>0</v>
      </c>
      <c r="C12">
        <v>1000</v>
      </c>
    </row>
    <row r="13" spans="1:3" x14ac:dyDescent="0.25">
      <c r="A13" t="s">
        <v>371</v>
      </c>
      <c r="B13">
        <v>-1000</v>
      </c>
      <c r="C13">
        <v>1000</v>
      </c>
    </row>
    <row r="14" spans="1:3" x14ac:dyDescent="0.25">
      <c r="A14" t="s">
        <v>371</v>
      </c>
      <c r="B14">
        <v>-1000</v>
      </c>
      <c r="C14">
        <v>1000</v>
      </c>
    </row>
    <row r="15" spans="1:3" x14ac:dyDescent="0.25">
      <c r="A15" t="s">
        <v>46</v>
      </c>
      <c r="B15">
        <v>-1000</v>
      </c>
      <c r="C15">
        <v>1000</v>
      </c>
    </row>
    <row r="16" spans="1:3" x14ac:dyDescent="0.25">
      <c r="A16" t="s">
        <v>47</v>
      </c>
      <c r="B16">
        <v>-1000</v>
      </c>
      <c r="C16">
        <v>1000</v>
      </c>
    </row>
    <row r="17" spans="1:3" x14ac:dyDescent="0.25">
      <c r="A17" t="s">
        <v>48</v>
      </c>
      <c r="B17">
        <v>-1000</v>
      </c>
      <c r="C17">
        <v>1000</v>
      </c>
    </row>
    <row r="18" spans="1:3" x14ac:dyDescent="0.25">
      <c r="A18" t="s">
        <v>49</v>
      </c>
      <c r="B18">
        <v>-1000</v>
      </c>
      <c r="C18">
        <v>1000</v>
      </c>
    </row>
    <row r="19" spans="1:3" x14ac:dyDescent="0.25">
      <c r="A19" t="s">
        <v>50</v>
      </c>
      <c r="B19">
        <v>-1000</v>
      </c>
      <c r="C19">
        <v>1000</v>
      </c>
    </row>
    <row r="20" spans="1:3" x14ac:dyDescent="0.25">
      <c r="A20" t="s">
        <v>51</v>
      </c>
      <c r="B20">
        <v>-1000</v>
      </c>
      <c r="C20">
        <v>1000</v>
      </c>
    </row>
    <row r="21" spans="1:3" x14ac:dyDescent="0.25">
      <c r="A21" t="s">
        <v>52</v>
      </c>
      <c r="B21">
        <v>-1000</v>
      </c>
      <c r="C21">
        <v>1000</v>
      </c>
    </row>
    <row r="22" spans="1:3" x14ac:dyDescent="0.25">
      <c r="A22" t="s">
        <v>53</v>
      </c>
      <c r="B22">
        <v>-1000</v>
      </c>
      <c r="C22">
        <v>1000</v>
      </c>
    </row>
    <row r="23" spans="1:3" x14ac:dyDescent="0.25">
      <c r="A23" t="s">
        <v>54</v>
      </c>
      <c r="B23">
        <v>-1000</v>
      </c>
      <c r="C23">
        <v>1000</v>
      </c>
    </row>
    <row r="24" spans="1:3" x14ac:dyDescent="0.25">
      <c r="A24" t="s">
        <v>55</v>
      </c>
      <c r="B24">
        <v>-1000</v>
      </c>
      <c r="C24">
        <v>1000</v>
      </c>
    </row>
    <row r="25" spans="1:3" x14ac:dyDescent="0.25">
      <c r="A25" t="s">
        <v>56</v>
      </c>
      <c r="B25">
        <v>-1000</v>
      </c>
      <c r="C25">
        <v>1000</v>
      </c>
    </row>
    <row r="26" spans="1:3" x14ac:dyDescent="0.25">
      <c r="A26" t="s">
        <v>57</v>
      </c>
      <c r="B26">
        <v>-1000</v>
      </c>
      <c r="C26">
        <v>1000</v>
      </c>
    </row>
    <row r="27" spans="1:3" x14ac:dyDescent="0.25">
      <c r="A27" t="s">
        <v>58</v>
      </c>
      <c r="B27">
        <v>-1000</v>
      </c>
      <c r="C27">
        <v>1000</v>
      </c>
    </row>
    <row r="28" spans="1:3" x14ac:dyDescent="0.25">
      <c r="A28" t="s">
        <v>59</v>
      </c>
      <c r="B28">
        <v>-1000</v>
      </c>
      <c r="C28">
        <v>1000</v>
      </c>
    </row>
    <row r="29" spans="1:3" x14ac:dyDescent="0.25">
      <c r="A29" t="s">
        <v>325</v>
      </c>
      <c r="B29">
        <v>-1000</v>
      </c>
      <c r="C29">
        <v>1000</v>
      </c>
    </row>
    <row r="30" spans="1:3" x14ac:dyDescent="0.25">
      <c r="A30" t="s">
        <v>60</v>
      </c>
      <c r="B30">
        <v>-1000</v>
      </c>
      <c r="C30">
        <v>1000</v>
      </c>
    </row>
    <row r="31" spans="1:3" x14ac:dyDescent="0.25">
      <c r="A31" t="s">
        <v>61</v>
      </c>
      <c r="B31">
        <v>-1000</v>
      </c>
      <c r="C31">
        <v>1000</v>
      </c>
    </row>
    <row r="32" spans="1:3" x14ac:dyDescent="0.25">
      <c r="A32" t="s">
        <v>62</v>
      </c>
      <c r="B32">
        <v>-1000</v>
      </c>
      <c r="C32">
        <v>1000</v>
      </c>
    </row>
    <row r="33" spans="1:3" x14ac:dyDescent="0.25">
      <c r="A33" t="s">
        <v>63</v>
      </c>
      <c r="B33">
        <v>-1000</v>
      </c>
      <c r="C33">
        <v>1000</v>
      </c>
    </row>
    <row r="34" spans="1:3" x14ac:dyDescent="0.25">
      <c r="A34" t="s">
        <v>64</v>
      </c>
      <c r="B34">
        <v>-1000</v>
      </c>
      <c r="C34">
        <v>1000</v>
      </c>
    </row>
    <row r="35" spans="1:3" x14ac:dyDescent="0.25">
      <c r="A35" t="s">
        <v>65</v>
      </c>
      <c r="B35">
        <v>-1000</v>
      </c>
      <c r="C35">
        <v>1000</v>
      </c>
    </row>
    <row r="36" spans="1:3" x14ac:dyDescent="0.25">
      <c r="A36" t="s">
        <v>66</v>
      </c>
      <c r="B36">
        <v>-1000</v>
      </c>
      <c r="C36">
        <v>1000</v>
      </c>
    </row>
    <row r="37" spans="1:3" x14ac:dyDescent="0.25">
      <c r="A37" t="s">
        <v>442</v>
      </c>
      <c r="B37">
        <v>-1000</v>
      </c>
      <c r="C37">
        <v>1000</v>
      </c>
    </row>
    <row r="38" spans="1:3" x14ac:dyDescent="0.25">
      <c r="A38" t="s">
        <v>438</v>
      </c>
      <c r="B38">
        <v>0</v>
      </c>
      <c r="C38">
        <v>0</v>
      </c>
    </row>
    <row r="39" spans="1:3" x14ac:dyDescent="0.25">
      <c r="A39" t="s">
        <v>326</v>
      </c>
      <c r="B39">
        <v>0</v>
      </c>
      <c r="C39">
        <v>0</v>
      </c>
    </row>
    <row r="40" spans="1:3" x14ac:dyDescent="0.25">
      <c r="A40" t="s">
        <v>369</v>
      </c>
      <c r="B40">
        <v>-1000</v>
      </c>
      <c r="C40">
        <v>1000</v>
      </c>
    </row>
    <row r="41" spans="1:3" x14ac:dyDescent="0.25">
      <c r="A41" t="s">
        <v>67</v>
      </c>
      <c r="B41">
        <v>-1000</v>
      </c>
      <c r="C41">
        <v>1000</v>
      </c>
    </row>
    <row r="42" spans="1:3" x14ac:dyDescent="0.25">
      <c r="A42" t="s">
        <v>327</v>
      </c>
      <c r="B42">
        <v>-1000</v>
      </c>
      <c r="C42">
        <v>1000</v>
      </c>
    </row>
    <row r="43" spans="1:3" x14ac:dyDescent="0.25">
      <c r="A43" t="s">
        <v>68</v>
      </c>
      <c r="B43">
        <v>-1000</v>
      </c>
      <c r="C43">
        <v>1000</v>
      </c>
    </row>
    <row r="44" spans="1:3" x14ac:dyDescent="0.25">
      <c r="A44" t="s">
        <v>69</v>
      </c>
      <c r="B44">
        <v>-1000</v>
      </c>
      <c r="C44">
        <v>1000</v>
      </c>
    </row>
    <row r="45" spans="1:3" x14ac:dyDescent="0.25">
      <c r="A45" t="s">
        <v>70</v>
      </c>
      <c r="B45">
        <v>0</v>
      </c>
      <c r="C45">
        <v>0</v>
      </c>
    </row>
    <row r="46" spans="1:3" x14ac:dyDescent="0.25">
      <c r="A46" t="s">
        <v>71</v>
      </c>
      <c r="B46">
        <v>-1000</v>
      </c>
      <c r="C46">
        <v>1000</v>
      </c>
    </row>
    <row r="47" spans="1:3" x14ac:dyDescent="0.25">
      <c r="A47" t="s">
        <v>72</v>
      </c>
      <c r="B47">
        <v>-1000</v>
      </c>
      <c r="C47">
        <v>1000</v>
      </c>
    </row>
    <row r="48" spans="1:3" x14ac:dyDescent="0.25">
      <c r="A48" t="s">
        <v>73</v>
      </c>
      <c r="B48">
        <v>-1000</v>
      </c>
      <c r="C48">
        <v>1000</v>
      </c>
    </row>
    <row r="49" spans="1:3" x14ac:dyDescent="0.25">
      <c r="A49" t="s">
        <v>74</v>
      </c>
      <c r="B49">
        <v>-1000</v>
      </c>
      <c r="C49">
        <v>1000</v>
      </c>
    </row>
    <row r="50" spans="1:3" x14ac:dyDescent="0.25">
      <c r="A50" t="s">
        <v>75</v>
      </c>
      <c r="B50">
        <v>-1000</v>
      </c>
      <c r="C50">
        <v>1000</v>
      </c>
    </row>
    <row r="51" spans="1:3" x14ac:dyDescent="0.25">
      <c r="A51" t="s">
        <v>76</v>
      </c>
      <c r="B51">
        <v>-1000</v>
      </c>
      <c r="C51">
        <v>1000</v>
      </c>
    </row>
    <row r="52" spans="1:3" x14ac:dyDescent="0.25">
      <c r="A52" t="s">
        <v>77</v>
      </c>
      <c r="B52">
        <v>-1000</v>
      </c>
      <c r="C52">
        <v>1000</v>
      </c>
    </row>
    <row r="53" spans="1:3" x14ac:dyDescent="0.25">
      <c r="A53" t="s">
        <v>78</v>
      </c>
      <c r="B53">
        <v>-1000</v>
      </c>
      <c r="C53">
        <v>1000</v>
      </c>
    </row>
    <row r="54" spans="1:3" x14ac:dyDescent="0.25">
      <c r="A54" t="s">
        <v>79</v>
      </c>
      <c r="B54">
        <v>-1000</v>
      </c>
      <c r="C54">
        <v>1000</v>
      </c>
    </row>
    <row r="55" spans="1:3" x14ac:dyDescent="0.25">
      <c r="A55" t="s">
        <v>80</v>
      </c>
      <c r="B55">
        <v>-1000</v>
      </c>
      <c r="C55">
        <v>1000</v>
      </c>
    </row>
    <row r="56" spans="1:3" x14ac:dyDescent="0.25">
      <c r="A56" t="s">
        <v>81</v>
      </c>
      <c r="B56">
        <v>-1000</v>
      </c>
      <c r="C56">
        <v>1000</v>
      </c>
    </row>
    <row r="57" spans="1:3" x14ac:dyDescent="0.25">
      <c r="A57" t="s">
        <v>82</v>
      </c>
      <c r="B57">
        <v>-1000</v>
      </c>
      <c r="C57">
        <v>1000</v>
      </c>
    </row>
    <row r="58" spans="1:3" x14ac:dyDescent="0.25">
      <c r="A58" t="s">
        <v>83</v>
      </c>
      <c r="B58">
        <v>-1000</v>
      </c>
      <c r="C58">
        <v>1000</v>
      </c>
    </row>
    <row r="59" spans="1:3" x14ac:dyDescent="0.25">
      <c r="A59" t="s">
        <v>84</v>
      </c>
      <c r="B59">
        <v>-1000</v>
      </c>
      <c r="C59">
        <v>1000</v>
      </c>
    </row>
    <row r="60" spans="1:3" x14ac:dyDescent="0.25">
      <c r="A60" t="s">
        <v>365</v>
      </c>
      <c r="B60">
        <v>0</v>
      </c>
      <c r="C60">
        <v>0</v>
      </c>
    </row>
    <row r="61" spans="1:3" x14ac:dyDescent="0.25">
      <c r="A61" t="s">
        <v>328</v>
      </c>
      <c r="B61">
        <v>-1000</v>
      </c>
      <c r="C61">
        <v>1000</v>
      </c>
    </row>
    <row r="62" spans="1:3" x14ac:dyDescent="0.25">
      <c r="A62" t="s">
        <v>85</v>
      </c>
      <c r="B62">
        <v>-1000</v>
      </c>
      <c r="C62">
        <v>1000</v>
      </c>
    </row>
    <row r="63" spans="1:3" x14ac:dyDescent="0.25">
      <c r="A63" t="s">
        <v>86</v>
      </c>
      <c r="B63">
        <v>-1000</v>
      </c>
      <c r="C63">
        <v>1000</v>
      </c>
    </row>
    <row r="64" spans="1:3" x14ac:dyDescent="0.25">
      <c r="A64" t="s">
        <v>87</v>
      </c>
      <c r="B64">
        <v>-1000</v>
      </c>
      <c r="C64">
        <v>1000</v>
      </c>
    </row>
    <row r="65" spans="1:3" x14ac:dyDescent="0.25">
      <c r="A65" t="s">
        <v>88</v>
      </c>
      <c r="B65">
        <v>-1000</v>
      </c>
      <c r="C65">
        <v>1000</v>
      </c>
    </row>
    <row r="66" spans="1:3" x14ac:dyDescent="0.25">
      <c r="A66" t="s">
        <v>89</v>
      </c>
      <c r="B66">
        <v>-1000</v>
      </c>
      <c r="C66">
        <v>1000</v>
      </c>
    </row>
    <row r="67" spans="1:3" x14ac:dyDescent="0.25">
      <c r="A67" t="s">
        <v>90</v>
      </c>
      <c r="B67">
        <v>0</v>
      </c>
      <c r="C67">
        <v>1000</v>
      </c>
    </row>
    <row r="68" spans="1:3" x14ac:dyDescent="0.25">
      <c r="A68" t="s">
        <v>329</v>
      </c>
      <c r="B68">
        <v>-1000</v>
      </c>
      <c r="C68">
        <v>1000</v>
      </c>
    </row>
    <row r="69" spans="1:3" x14ac:dyDescent="0.25">
      <c r="A69" t="s">
        <v>91</v>
      </c>
      <c r="B69">
        <v>-1000</v>
      </c>
      <c r="C69">
        <v>1000</v>
      </c>
    </row>
    <row r="70" spans="1:3" x14ac:dyDescent="0.25">
      <c r="A70" t="s">
        <v>92</v>
      </c>
      <c r="B70">
        <v>-1000</v>
      </c>
      <c r="C70">
        <v>1000</v>
      </c>
    </row>
    <row r="71" spans="1:3" x14ac:dyDescent="0.25">
      <c r="A71" t="s">
        <v>93</v>
      </c>
      <c r="B71">
        <v>-1000</v>
      </c>
      <c r="C71">
        <v>1000</v>
      </c>
    </row>
    <row r="72" spans="1:3" x14ac:dyDescent="0.25">
      <c r="A72" t="s">
        <v>94</v>
      </c>
      <c r="B72">
        <v>-1000</v>
      </c>
      <c r="C72">
        <v>1000</v>
      </c>
    </row>
    <row r="73" spans="1:3" x14ac:dyDescent="0.25">
      <c r="A73" t="s">
        <v>330</v>
      </c>
      <c r="B73">
        <v>0</v>
      </c>
      <c r="C73">
        <v>1000</v>
      </c>
    </row>
    <row r="74" spans="1:3" x14ac:dyDescent="0.25">
      <c r="A74" t="s">
        <v>95</v>
      </c>
      <c r="B74">
        <v>-1000</v>
      </c>
      <c r="C74">
        <v>1000</v>
      </c>
    </row>
    <row r="75" spans="1:3" x14ac:dyDescent="0.25">
      <c r="A75" t="s">
        <v>331</v>
      </c>
      <c r="B75">
        <v>-1000</v>
      </c>
      <c r="C75">
        <v>1000</v>
      </c>
    </row>
    <row r="76" spans="1:3" x14ac:dyDescent="0.25">
      <c r="A76" t="s">
        <v>96</v>
      </c>
      <c r="B76">
        <v>-1000</v>
      </c>
      <c r="C76">
        <v>1000</v>
      </c>
    </row>
    <row r="77" spans="1:3" x14ac:dyDescent="0.25">
      <c r="A77" t="s">
        <v>97</v>
      </c>
      <c r="B77">
        <v>-1000</v>
      </c>
      <c r="C77">
        <v>1000</v>
      </c>
    </row>
    <row r="78" spans="1:3" x14ac:dyDescent="0.25">
      <c r="A78" t="s">
        <v>98</v>
      </c>
      <c r="B78">
        <v>-1000</v>
      </c>
      <c r="C78">
        <v>1000</v>
      </c>
    </row>
    <row r="79" spans="1:3" x14ac:dyDescent="0.25">
      <c r="A79" t="s">
        <v>99</v>
      </c>
      <c r="B79">
        <v>-1000</v>
      </c>
      <c r="C79">
        <v>1000</v>
      </c>
    </row>
    <row r="80" spans="1:3" x14ac:dyDescent="0.25">
      <c r="A80" t="s">
        <v>100</v>
      </c>
      <c r="B80">
        <v>-1000</v>
      </c>
      <c r="C80">
        <v>1000</v>
      </c>
    </row>
    <row r="81" spans="1:3" x14ac:dyDescent="0.25">
      <c r="A81" t="s">
        <v>101</v>
      </c>
      <c r="B81">
        <v>-1000</v>
      </c>
      <c r="C81">
        <v>1000</v>
      </c>
    </row>
    <row r="82" spans="1:3" x14ac:dyDescent="0.25">
      <c r="A82" t="s">
        <v>102</v>
      </c>
      <c r="B82">
        <v>-1000</v>
      </c>
      <c r="C82">
        <v>1000</v>
      </c>
    </row>
    <row r="83" spans="1:3" x14ac:dyDescent="0.25">
      <c r="A83" t="s">
        <v>103</v>
      </c>
      <c r="B83">
        <v>-1000</v>
      </c>
      <c r="C83">
        <v>1000</v>
      </c>
    </row>
    <row r="84" spans="1:3" x14ac:dyDescent="0.25">
      <c r="A84" t="s">
        <v>104</v>
      </c>
      <c r="B84">
        <v>-1000</v>
      </c>
      <c r="C84">
        <v>1000</v>
      </c>
    </row>
    <row r="85" spans="1:3" x14ac:dyDescent="0.25">
      <c r="A85" t="s">
        <v>105</v>
      </c>
      <c r="B85">
        <v>-1000</v>
      </c>
      <c r="C85">
        <v>1000</v>
      </c>
    </row>
    <row r="86" spans="1:3" x14ac:dyDescent="0.25">
      <c r="A86" t="s">
        <v>106</v>
      </c>
      <c r="B86">
        <v>-1000</v>
      </c>
      <c r="C86">
        <v>1000</v>
      </c>
    </row>
    <row r="87" spans="1:3" x14ac:dyDescent="0.25">
      <c r="A87" t="s">
        <v>107</v>
      </c>
      <c r="B87">
        <v>-1000</v>
      </c>
      <c r="C87">
        <v>1000</v>
      </c>
    </row>
    <row r="88" spans="1:3" x14ac:dyDescent="0.25">
      <c r="A88" t="s">
        <v>108</v>
      </c>
      <c r="B88">
        <v>-1000</v>
      </c>
      <c r="C88">
        <v>1000</v>
      </c>
    </row>
    <row r="89" spans="1:3" x14ac:dyDescent="0.25">
      <c r="A89" t="s">
        <v>109</v>
      </c>
      <c r="B89">
        <v>-1000</v>
      </c>
      <c r="C89">
        <v>1000</v>
      </c>
    </row>
    <row r="90" spans="1:3" x14ac:dyDescent="0.25">
      <c r="A90" t="s">
        <v>110</v>
      </c>
      <c r="B90">
        <v>-1000</v>
      </c>
      <c r="C90">
        <v>1000</v>
      </c>
    </row>
    <row r="91" spans="1:3" x14ac:dyDescent="0.25">
      <c r="A91" t="s">
        <v>111</v>
      </c>
      <c r="B91">
        <v>-1000</v>
      </c>
      <c r="C91">
        <v>1000</v>
      </c>
    </row>
    <row r="92" spans="1:3" x14ac:dyDescent="0.25">
      <c r="A92" t="s">
        <v>112</v>
      </c>
      <c r="B92">
        <v>-1000</v>
      </c>
      <c r="C92">
        <v>1000</v>
      </c>
    </row>
    <row r="93" spans="1:3" x14ac:dyDescent="0.25">
      <c r="A93" t="s">
        <v>113</v>
      </c>
      <c r="B93">
        <v>-1000</v>
      </c>
      <c r="C93">
        <v>1000</v>
      </c>
    </row>
    <row r="94" spans="1:3" x14ac:dyDescent="0.25">
      <c r="A94" t="s">
        <v>114</v>
      </c>
      <c r="B94">
        <v>-1000</v>
      </c>
      <c r="C94">
        <v>1000</v>
      </c>
    </row>
    <row r="95" spans="1:3" x14ac:dyDescent="0.25">
      <c r="A95" t="s">
        <v>115</v>
      </c>
      <c r="B95">
        <v>-1000</v>
      </c>
      <c r="C95">
        <v>1000</v>
      </c>
    </row>
    <row r="96" spans="1:3" x14ac:dyDescent="0.25">
      <c r="A96" t="s">
        <v>116</v>
      </c>
      <c r="B96">
        <v>-1000</v>
      </c>
      <c r="C96">
        <v>1000</v>
      </c>
    </row>
    <row r="97" spans="1:3" x14ac:dyDescent="0.25">
      <c r="A97" t="s">
        <v>117</v>
      </c>
      <c r="B97">
        <v>-1000</v>
      </c>
      <c r="C97">
        <v>1000</v>
      </c>
    </row>
    <row r="98" spans="1:3" x14ac:dyDescent="0.25">
      <c r="A98" t="s">
        <v>118</v>
      </c>
      <c r="B98">
        <v>-1000</v>
      </c>
      <c r="C98">
        <v>1000</v>
      </c>
    </row>
    <row r="99" spans="1:3" x14ac:dyDescent="0.25">
      <c r="A99" t="s">
        <v>119</v>
      </c>
      <c r="B99">
        <v>-1000</v>
      </c>
      <c r="C99">
        <v>1000</v>
      </c>
    </row>
    <row r="100" spans="1:3" x14ac:dyDescent="0.25">
      <c r="A100" t="s">
        <v>120</v>
      </c>
      <c r="B100">
        <v>-1000</v>
      </c>
      <c r="C100">
        <v>1000</v>
      </c>
    </row>
    <row r="101" spans="1:3" x14ac:dyDescent="0.25">
      <c r="A101" t="s">
        <v>121</v>
      </c>
      <c r="B101">
        <v>-1000</v>
      </c>
      <c r="C101">
        <v>1000</v>
      </c>
    </row>
    <row r="102" spans="1:3" x14ac:dyDescent="0.25">
      <c r="A102" t="s">
        <v>122</v>
      </c>
      <c r="B102">
        <v>-1000</v>
      </c>
      <c r="C102">
        <v>1000</v>
      </c>
    </row>
    <row r="103" spans="1:3" x14ac:dyDescent="0.25">
      <c r="A103" t="s">
        <v>123</v>
      </c>
      <c r="B103">
        <v>-1000</v>
      </c>
      <c r="C103">
        <v>1000</v>
      </c>
    </row>
    <row r="104" spans="1:3" x14ac:dyDescent="0.25">
      <c r="A104" t="s">
        <v>124</v>
      </c>
      <c r="B104">
        <v>-1000</v>
      </c>
      <c r="C104">
        <v>1000</v>
      </c>
    </row>
    <row r="105" spans="1:3" x14ac:dyDescent="0.25">
      <c r="A105" t="s">
        <v>332</v>
      </c>
      <c r="B105">
        <v>-1000</v>
      </c>
      <c r="C105">
        <v>1000</v>
      </c>
    </row>
    <row r="106" spans="1:3" x14ac:dyDescent="0.25">
      <c r="A106" t="s">
        <v>333</v>
      </c>
      <c r="B106">
        <v>-1000</v>
      </c>
      <c r="C106">
        <v>1000</v>
      </c>
    </row>
    <row r="107" spans="1:3" x14ac:dyDescent="0.25">
      <c r="A107" t="s">
        <v>125</v>
      </c>
      <c r="B107">
        <v>-1000</v>
      </c>
      <c r="C107">
        <v>1000</v>
      </c>
    </row>
    <row r="108" spans="1:3" x14ac:dyDescent="0.25">
      <c r="A108" t="s">
        <v>126</v>
      </c>
      <c r="B108">
        <v>-1000</v>
      </c>
      <c r="C108">
        <v>1000</v>
      </c>
    </row>
    <row r="109" spans="1:3" x14ac:dyDescent="0.25">
      <c r="A109" t="s">
        <v>127</v>
      </c>
      <c r="B109">
        <v>-1000</v>
      </c>
      <c r="C109">
        <v>1000</v>
      </c>
    </row>
    <row r="110" spans="1:3" x14ac:dyDescent="0.25">
      <c r="A110" t="s">
        <v>128</v>
      </c>
      <c r="B110">
        <v>-1000</v>
      </c>
      <c r="C110">
        <v>1000</v>
      </c>
    </row>
    <row r="111" spans="1:3" x14ac:dyDescent="0.25">
      <c r="A111" t="s">
        <v>129</v>
      </c>
      <c r="B111">
        <v>-1000</v>
      </c>
      <c r="C111">
        <v>1000</v>
      </c>
    </row>
    <row r="112" spans="1:3" x14ac:dyDescent="0.25">
      <c r="A112" t="s">
        <v>130</v>
      </c>
      <c r="B112">
        <v>-1000</v>
      </c>
      <c r="C112">
        <v>1000</v>
      </c>
    </row>
    <row r="113" spans="1:3" x14ac:dyDescent="0.25">
      <c r="A113" t="s">
        <v>364</v>
      </c>
      <c r="B113">
        <v>-1000</v>
      </c>
      <c r="C113">
        <v>1000</v>
      </c>
    </row>
    <row r="114" spans="1:3" x14ac:dyDescent="0.25">
      <c r="A114" t="s">
        <v>131</v>
      </c>
      <c r="B114">
        <v>-1000</v>
      </c>
      <c r="C114">
        <v>1000</v>
      </c>
    </row>
    <row r="115" spans="1:3" x14ac:dyDescent="0.25">
      <c r="A115" t="s">
        <v>132</v>
      </c>
      <c r="B115">
        <v>-1000</v>
      </c>
      <c r="C115">
        <v>1000</v>
      </c>
    </row>
    <row r="116" spans="1:3" x14ac:dyDescent="0.25">
      <c r="A116" t="s">
        <v>334</v>
      </c>
      <c r="B116">
        <v>-1000</v>
      </c>
      <c r="C116">
        <v>1000</v>
      </c>
    </row>
    <row r="117" spans="1:3" x14ac:dyDescent="0.25">
      <c r="A117" t="s">
        <v>133</v>
      </c>
      <c r="B117">
        <v>-1000</v>
      </c>
      <c r="C117">
        <v>1000</v>
      </c>
    </row>
    <row r="118" spans="1:3" x14ac:dyDescent="0.25">
      <c r="A118" t="s">
        <v>135</v>
      </c>
      <c r="B118">
        <v>-1000</v>
      </c>
      <c r="C118">
        <v>1000</v>
      </c>
    </row>
    <row r="119" spans="1:3" x14ac:dyDescent="0.25">
      <c r="A119" t="s">
        <v>136</v>
      </c>
      <c r="B119">
        <v>-1000</v>
      </c>
      <c r="C119">
        <v>1000</v>
      </c>
    </row>
    <row r="120" spans="1:3" x14ac:dyDescent="0.25">
      <c r="A120" t="s">
        <v>137</v>
      </c>
      <c r="B120">
        <v>-1000</v>
      </c>
      <c r="C120">
        <v>1000</v>
      </c>
    </row>
    <row r="121" spans="1:3" x14ac:dyDescent="0.25">
      <c r="A121" t="s">
        <v>138</v>
      </c>
      <c r="B121">
        <v>-1000</v>
      </c>
      <c r="C121">
        <v>1000</v>
      </c>
    </row>
    <row r="122" spans="1:3" x14ac:dyDescent="0.25">
      <c r="A122" t="s">
        <v>139</v>
      </c>
      <c r="B122">
        <v>-1000</v>
      </c>
      <c r="C122">
        <v>1000</v>
      </c>
    </row>
    <row r="123" spans="1:3" x14ac:dyDescent="0.25">
      <c r="A123" t="s">
        <v>140</v>
      </c>
      <c r="B123">
        <v>-1000</v>
      </c>
      <c r="C123">
        <v>1000</v>
      </c>
    </row>
    <row r="124" spans="1:3" x14ac:dyDescent="0.25">
      <c r="A124" t="s">
        <v>141</v>
      </c>
      <c r="B124">
        <v>-1000</v>
      </c>
      <c r="C124">
        <v>1000</v>
      </c>
    </row>
    <row r="125" spans="1:3" x14ac:dyDescent="0.25">
      <c r="A125" t="s">
        <v>142</v>
      </c>
      <c r="B125">
        <v>-1000</v>
      </c>
      <c r="C125">
        <v>1000</v>
      </c>
    </row>
    <row r="126" spans="1:3" x14ac:dyDescent="0.25">
      <c r="A126" t="s">
        <v>367</v>
      </c>
      <c r="B126">
        <v>0</v>
      </c>
      <c r="C126">
        <v>0</v>
      </c>
    </row>
    <row r="127" spans="1:3" x14ac:dyDescent="0.25">
      <c r="A127" t="s">
        <v>368</v>
      </c>
      <c r="B127">
        <v>0</v>
      </c>
      <c r="C127">
        <v>0</v>
      </c>
    </row>
    <row r="128" spans="1:3" x14ac:dyDescent="0.25">
      <c r="A128" t="s">
        <v>143</v>
      </c>
      <c r="B128">
        <v>-1000</v>
      </c>
      <c r="C128">
        <v>1000</v>
      </c>
    </row>
    <row r="129" spans="1:3" x14ac:dyDescent="0.25">
      <c r="A129" t="s">
        <v>366</v>
      </c>
      <c r="B129">
        <v>-1000</v>
      </c>
      <c r="C129">
        <v>1000</v>
      </c>
    </row>
    <row r="130" spans="1:3" x14ac:dyDescent="0.25">
      <c r="A130" t="s">
        <v>145</v>
      </c>
      <c r="B130">
        <v>-1000</v>
      </c>
      <c r="C130">
        <v>1000</v>
      </c>
    </row>
    <row r="131" spans="1:3" x14ac:dyDescent="0.25">
      <c r="A131" t="s">
        <v>146</v>
      </c>
      <c r="B131">
        <v>0</v>
      </c>
      <c r="C131">
        <v>1000</v>
      </c>
    </row>
    <row r="132" spans="1:3" x14ac:dyDescent="0.25">
      <c r="A132" t="s">
        <v>147</v>
      </c>
      <c r="B132">
        <v>0</v>
      </c>
      <c r="C132">
        <v>1000</v>
      </c>
    </row>
    <row r="133" spans="1:3" x14ac:dyDescent="0.25">
      <c r="A133" t="s">
        <v>148</v>
      </c>
      <c r="B133">
        <v>-1000</v>
      </c>
      <c r="C133">
        <v>1000</v>
      </c>
    </row>
    <row r="134" spans="1:3" x14ac:dyDescent="0.25">
      <c r="A134" t="s">
        <v>149</v>
      </c>
      <c r="B134">
        <v>-1000</v>
      </c>
      <c r="C134">
        <v>1000</v>
      </c>
    </row>
    <row r="135" spans="1:3" x14ac:dyDescent="0.25">
      <c r="A135" t="s">
        <v>361</v>
      </c>
      <c r="B135">
        <v>0</v>
      </c>
      <c r="C135">
        <v>1000</v>
      </c>
    </row>
    <row r="136" spans="1:3" x14ac:dyDescent="0.25">
      <c r="A136" t="s">
        <v>362</v>
      </c>
      <c r="B136">
        <v>0</v>
      </c>
      <c r="C136">
        <v>1000</v>
      </c>
    </row>
    <row r="137" spans="1:3" x14ac:dyDescent="0.25">
      <c r="A137" t="s">
        <v>151</v>
      </c>
      <c r="B137">
        <v>-1000</v>
      </c>
      <c r="C137">
        <v>1000</v>
      </c>
    </row>
    <row r="138" spans="1:3" x14ac:dyDescent="0.25">
      <c r="A138" t="s">
        <v>152</v>
      </c>
      <c r="B138">
        <v>-1000</v>
      </c>
      <c r="C138">
        <v>1000</v>
      </c>
    </row>
    <row r="139" spans="1:3" x14ac:dyDescent="0.25">
      <c r="A139" t="s">
        <v>153</v>
      </c>
      <c r="B139">
        <v>-1000</v>
      </c>
      <c r="C139">
        <v>1000</v>
      </c>
    </row>
    <row r="140" spans="1:3" x14ac:dyDescent="0.25">
      <c r="A140" t="s">
        <v>154</v>
      </c>
      <c r="B140">
        <v>-1000</v>
      </c>
      <c r="C140">
        <v>1000</v>
      </c>
    </row>
    <row r="141" spans="1:3" x14ac:dyDescent="0.25">
      <c r="A141" t="s">
        <v>144</v>
      </c>
      <c r="B141">
        <v>0</v>
      </c>
      <c r="C141">
        <v>1000</v>
      </c>
    </row>
    <row r="142" spans="1:3" x14ac:dyDescent="0.25">
      <c r="A142" t="s">
        <v>155</v>
      </c>
      <c r="B142">
        <v>-1000</v>
      </c>
      <c r="C142">
        <v>1000</v>
      </c>
    </row>
    <row r="143" spans="1:3" x14ac:dyDescent="0.25">
      <c r="A143" t="s">
        <v>156</v>
      </c>
      <c r="B143">
        <v>-1000</v>
      </c>
      <c r="C143">
        <v>1000</v>
      </c>
    </row>
    <row r="144" spans="1:3" x14ac:dyDescent="0.25">
      <c r="A144" t="s">
        <v>157</v>
      </c>
      <c r="B144">
        <v>-1000</v>
      </c>
      <c r="C144">
        <v>1000</v>
      </c>
    </row>
    <row r="145" spans="1:3" x14ac:dyDescent="0.25">
      <c r="A145" t="s">
        <v>158</v>
      </c>
      <c r="B145">
        <v>-1000</v>
      </c>
      <c r="C145">
        <v>1000</v>
      </c>
    </row>
    <row r="146" spans="1:3" x14ac:dyDescent="0.25">
      <c r="A146" t="s">
        <v>159</v>
      </c>
      <c r="B146">
        <v>-1000</v>
      </c>
      <c r="C146">
        <v>1000</v>
      </c>
    </row>
    <row r="147" spans="1:3" x14ac:dyDescent="0.25">
      <c r="A147" t="s">
        <v>385</v>
      </c>
      <c r="B147">
        <v>-1000</v>
      </c>
      <c r="C147">
        <v>1000</v>
      </c>
    </row>
    <row r="148" spans="1:3" x14ac:dyDescent="0.25">
      <c r="A148" t="s">
        <v>160</v>
      </c>
      <c r="B148">
        <v>-1000</v>
      </c>
      <c r="C148">
        <v>1000</v>
      </c>
    </row>
    <row r="149" spans="1:3" x14ac:dyDescent="0.25">
      <c r="A149" t="s">
        <v>161</v>
      </c>
      <c r="B149">
        <v>-1000</v>
      </c>
      <c r="C149">
        <v>1000</v>
      </c>
    </row>
    <row r="150" spans="1:3" x14ac:dyDescent="0.25">
      <c r="A150" t="s">
        <v>162</v>
      </c>
      <c r="B150">
        <v>-1000</v>
      </c>
      <c r="C150">
        <v>1000</v>
      </c>
    </row>
    <row r="151" spans="1:3" x14ac:dyDescent="0.25">
      <c r="A151" t="s">
        <v>163</v>
      </c>
      <c r="B151">
        <v>-1000</v>
      </c>
      <c r="C151">
        <v>1000</v>
      </c>
    </row>
    <row r="152" spans="1:3" x14ac:dyDescent="0.25">
      <c r="A152" t="s">
        <v>164</v>
      </c>
      <c r="B152">
        <v>-1000</v>
      </c>
      <c r="C152">
        <v>1000</v>
      </c>
    </row>
    <row r="153" spans="1:3" x14ac:dyDescent="0.25">
      <c r="A153" t="s">
        <v>165</v>
      </c>
      <c r="B153">
        <v>-1000</v>
      </c>
      <c r="C153">
        <v>1000</v>
      </c>
    </row>
    <row r="154" spans="1:3" x14ac:dyDescent="0.25">
      <c r="A154" t="s">
        <v>166</v>
      </c>
      <c r="B154">
        <v>-1000</v>
      </c>
      <c r="C154">
        <v>1000</v>
      </c>
    </row>
    <row r="155" spans="1:3" x14ac:dyDescent="0.25">
      <c r="A155" t="s">
        <v>167</v>
      </c>
      <c r="B155">
        <v>-1000</v>
      </c>
      <c r="C155">
        <v>1000</v>
      </c>
    </row>
    <row r="156" spans="1:3" x14ac:dyDescent="0.25">
      <c r="A156" t="s">
        <v>335</v>
      </c>
      <c r="B156">
        <v>-1000</v>
      </c>
      <c r="C156">
        <v>1000</v>
      </c>
    </row>
    <row r="157" spans="1:3" x14ac:dyDescent="0.25">
      <c r="A157" t="s">
        <v>168</v>
      </c>
      <c r="B157">
        <v>-1000</v>
      </c>
      <c r="C157">
        <v>1000</v>
      </c>
    </row>
    <row r="158" spans="1:3" x14ac:dyDescent="0.25">
      <c r="A158" t="s">
        <v>169</v>
      </c>
      <c r="B158">
        <v>-1000</v>
      </c>
      <c r="C158">
        <v>1000</v>
      </c>
    </row>
    <row r="159" spans="1:3" x14ac:dyDescent="0.25">
      <c r="A159" t="s">
        <v>170</v>
      </c>
      <c r="B159">
        <v>-1000</v>
      </c>
      <c r="C159">
        <v>1000</v>
      </c>
    </row>
    <row r="160" spans="1:3" x14ac:dyDescent="0.25">
      <c r="A160" t="s">
        <v>171</v>
      </c>
      <c r="B160">
        <v>-1000</v>
      </c>
      <c r="C160">
        <v>1000</v>
      </c>
    </row>
    <row r="161" spans="1:3" x14ac:dyDescent="0.25">
      <c r="A161" t="s">
        <v>173</v>
      </c>
      <c r="B161">
        <v>-1000</v>
      </c>
      <c r="C161">
        <v>1000</v>
      </c>
    </row>
    <row r="162" spans="1:3" x14ac:dyDescent="0.25">
      <c r="A162" t="s">
        <v>174</v>
      </c>
      <c r="B162">
        <v>-1000</v>
      </c>
      <c r="C162">
        <v>1000</v>
      </c>
    </row>
    <row r="163" spans="1:3" x14ac:dyDescent="0.25">
      <c r="A163" t="s">
        <v>175</v>
      </c>
      <c r="B163">
        <v>-1000</v>
      </c>
      <c r="C163">
        <v>1000</v>
      </c>
    </row>
    <row r="164" spans="1:3" x14ac:dyDescent="0.25">
      <c r="A164" t="s">
        <v>435</v>
      </c>
      <c r="B164">
        <v>-1000</v>
      </c>
      <c r="C164">
        <v>1000</v>
      </c>
    </row>
    <row r="165" spans="1:3" x14ac:dyDescent="0.25">
      <c r="A165" t="s">
        <v>176</v>
      </c>
      <c r="B165">
        <v>-1000</v>
      </c>
      <c r="C165">
        <v>1000</v>
      </c>
    </row>
    <row r="166" spans="1:3" x14ac:dyDescent="0.25">
      <c r="A166" t="s">
        <v>177</v>
      </c>
      <c r="B166">
        <v>-1000</v>
      </c>
      <c r="C166">
        <v>1000</v>
      </c>
    </row>
    <row r="167" spans="1:3" x14ac:dyDescent="0.25">
      <c r="A167" t="s">
        <v>363</v>
      </c>
      <c r="B167">
        <v>0</v>
      </c>
      <c r="C167">
        <v>0</v>
      </c>
    </row>
    <row r="168" spans="1:3" x14ac:dyDescent="0.25">
      <c r="A168" t="s">
        <v>336</v>
      </c>
      <c r="B168">
        <v>-1000</v>
      </c>
      <c r="C168">
        <v>1000</v>
      </c>
    </row>
    <row r="169" spans="1:3" x14ac:dyDescent="0.25">
      <c r="A169" t="s">
        <v>360</v>
      </c>
      <c r="B169">
        <v>100</v>
      </c>
      <c r="C169">
        <v>100</v>
      </c>
    </row>
    <row r="170" spans="1:3" x14ac:dyDescent="0.25">
      <c r="A170" t="s">
        <v>178</v>
      </c>
      <c r="B170">
        <f>val!C7</f>
        <v>194.96583861362987</v>
      </c>
      <c r="C170">
        <f>val!C7</f>
        <v>194.96583861362987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36D8F-FB7C-4D39-9DC1-4416D799D074}">
  <dimension ref="A1:C170"/>
  <sheetViews>
    <sheetView topLeftCell="A31" workbookViewId="0">
      <selection activeCell="A37" sqref="A37"/>
    </sheetView>
  </sheetViews>
  <sheetFormatPr defaultRowHeight="15" x14ac:dyDescent="0.25"/>
  <cols>
    <col min="1" max="1" width="18.5703125" bestFit="1" customWidth="1"/>
  </cols>
  <sheetData>
    <row r="1" spans="1:3" x14ac:dyDescent="0.25">
      <c r="A1" t="s">
        <v>5</v>
      </c>
      <c r="B1" t="s">
        <v>352</v>
      </c>
      <c r="C1" t="s">
        <v>353</v>
      </c>
    </row>
    <row r="2" spans="1:3" x14ac:dyDescent="0.25">
      <c r="A2" t="s">
        <v>39</v>
      </c>
      <c r="B2">
        <v>-1000</v>
      </c>
      <c r="C2">
        <v>1000</v>
      </c>
    </row>
    <row r="3" spans="1:3" x14ac:dyDescent="0.25">
      <c r="A3" t="s">
        <v>359</v>
      </c>
      <c r="B3">
        <v>-1000</v>
      </c>
      <c r="C3">
        <v>1000</v>
      </c>
    </row>
    <row r="4" spans="1:3" x14ac:dyDescent="0.25">
      <c r="A4" t="s">
        <v>386</v>
      </c>
      <c r="B4">
        <v>0</v>
      </c>
      <c r="C4">
        <v>0</v>
      </c>
    </row>
    <row r="5" spans="1:3" x14ac:dyDescent="0.25">
      <c r="A5" t="s">
        <v>358</v>
      </c>
      <c r="B5">
        <v>0</v>
      </c>
      <c r="C5">
        <v>0</v>
      </c>
    </row>
    <row r="6" spans="1:3" x14ac:dyDescent="0.25">
      <c r="A6" t="s">
        <v>40</v>
      </c>
      <c r="B6">
        <v>-1000</v>
      </c>
      <c r="C6">
        <v>1000</v>
      </c>
    </row>
    <row r="7" spans="1:3" x14ac:dyDescent="0.25">
      <c r="A7" t="s">
        <v>41</v>
      </c>
      <c r="B7">
        <v>-1000</v>
      </c>
      <c r="C7">
        <v>1000</v>
      </c>
    </row>
    <row r="8" spans="1:3" x14ac:dyDescent="0.25">
      <c r="A8" t="s">
        <v>42</v>
      </c>
      <c r="B8">
        <v>-1000</v>
      </c>
      <c r="C8">
        <v>1000</v>
      </c>
    </row>
    <row r="9" spans="1:3" x14ac:dyDescent="0.25">
      <c r="A9" t="s">
        <v>43</v>
      </c>
      <c r="B9">
        <v>-1000</v>
      </c>
      <c r="C9">
        <v>1000</v>
      </c>
    </row>
    <row r="10" spans="1:3" x14ac:dyDescent="0.25">
      <c r="A10" t="s">
        <v>44</v>
      </c>
      <c r="B10">
        <v>-1000</v>
      </c>
      <c r="C10">
        <v>1000</v>
      </c>
    </row>
    <row r="11" spans="1:3" x14ac:dyDescent="0.25">
      <c r="A11" t="s">
        <v>45</v>
      </c>
      <c r="B11">
        <v>0</v>
      </c>
      <c r="C11">
        <v>0</v>
      </c>
    </row>
    <row r="12" spans="1:3" x14ac:dyDescent="0.25">
      <c r="A12" t="s">
        <v>324</v>
      </c>
      <c r="B12">
        <v>0</v>
      </c>
      <c r="C12">
        <v>1000</v>
      </c>
    </row>
    <row r="13" spans="1:3" x14ac:dyDescent="0.25">
      <c r="A13" t="s">
        <v>371</v>
      </c>
      <c r="B13">
        <v>-1000</v>
      </c>
      <c r="C13">
        <v>1000</v>
      </c>
    </row>
    <row r="14" spans="1:3" x14ac:dyDescent="0.25">
      <c r="A14" t="s">
        <v>371</v>
      </c>
      <c r="B14">
        <v>-1000</v>
      </c>
      <c r="C14">
        <v>1000</v>
      </c>
    </row>
    <row r="15" spans="1:3" x14ac:dyDescent="0.25">
      <c r="A15" t="s">
        <v>46</v>
      </c>
      <c r="B15">
        <v>-1000</v>
      </c>
      <c r="C15">
        <v>1000</v>
      </c>
    </row>
    <row r="16" spans="1:3" x14ac:dyDescent="0.25">
      <c r="A16" t="s">
        <v>47</v>
      </c>
      <c r="B16">
        <v>-1000</v>
      </c>
      <c r="C16">
        <v>1000</v>
      </c>
    </row>
    <row r="17" spans="1:3" x14ac:dyDescent="0.25">
      <c r="A17" t="s">
        <v>48</v>
      </c>
      <c r="B17">
        <v>-1000</v>
      </c>
      <c r="C17">
        <v>1000</v>
      </c>
    </row>
    <row r="18" spans="1:3" x14ac:dyDescent="0.25">
      <c r="A18" t="s">
        <v>49</v>
      </c>
      <c r="B18">
        <v>-1000</v>
      </c>
      <c r="C18">
        <v>1000</v>
      </c>
    </row>
    <row r="19" spans="1:3" x14ac:dyDescent="0.25">
      <c r="A19" t="s">
        <v>50</v>
      </c>
      <c r="B19">
        <v>-1000</v>
      </c>
      <c r="C19">
        <v>1000</v>
      </c>
    </row>
    <row r="20" spans="1:3" x14ac:dyDescent="0.25">
      <c r="A20" t="s">
        <v>51</v>
      </c>
      <c r="B20">
        <v>-1000</v>
      </c>
      <c r="C20">
        <v>1000</v>
      </c>
    </row>
    <row r="21" spans="1:3" x14ac:dyDescent="0.25">
      <c r="A21" t="s">
        <v>52</v>
      </c>
      <c r="B21">
        <v>-1000</v>
      </c>
      <c r="C21">
        <v>1000</v>
      </c>
    </row>
    <row r="22" spans="1:3" x14ac:dyDescent="0.25">
      <c r="A22" t="s">
        <v>53</v>
      </c>
      <c r="B22">
        <v>-1000</v>
      </c>
      <c r="C22">
        <v>1000</v>
      </c>
    </row>
    <row r="23" spans="1:3" x14ac:dyDescent="0.25">
      <c r="A23" t="s">
        <v>54</v>
      </c>
      <c r="B23">
        <v>-1000</v>
      </c>
      <c r="C23">
        <v>1000</v>
      </c>
    </row>
    <row r="24" spans="1:3" x14ac:dyDescent="0.25">
      <c r="A24" t="s">
        <v>55</v>
      </c>
      <c r="B24">
        <v>-1000</v>
      </c>
      <c r="C24">
        <v>1000</v>
      </c>
    </row>
    <row r="25" spans="1:3" x14ac:dyDescent="0.25">
      <c r="A25" t="s">
        <v>56</v>
      </c>
      <c r="B25">
        <v>-1000</v>
      </c>
      <c r="C25">
        <v>1000</v>
      </c>
    </row>
    <row r="26" spans="1:3" x14ac:dyDescent="0.25">
      <c r="A26" t="s">
        <v>57</v>
      </c>
      <c r="B26">
        <v>-1000</v>
      </c>
      <c r="C26">
        <v>1000</v>
      </c>
    </row>
    <row r="27" spans="1:3" x14ac:dyDescent="0.25">
      <c r="A27" t="s">
        <v>58</v>
      </c>
      <c r="B27">
        <v>-1000</v>
      </c>
      <c r="C27">
        <v>1000</v>
      </c>
    </row>
    <row r="28" spans="1:3" x14ac:dyDescent="0.25">
      <c r="A28" t="s">
        <v>59</v>
      </c>
      <c r="B28">
        <v>-1000</v>
      </c>
      <c r="C28">
        <v>1000</v>
      </c>
    </row>
    <row r="29" spans="1:3" x14ac:dyDescent="0.25">
      <c r="A29" t="s">
        <v>325</v>
      </c>
      <c r="B29">
        <v>-1000</v>
      </c>
      <c r="C29">
        <v>1000</v>
      </c>
    </row>
    <row r="30" spans="1:3" x14ac:dyDescent="0.25">
      <c r="A30" t="s">
        <v>60</v>
      </c>
      <c r="B30">
        <v>-1000</v>
      </c>
      <c r="C30">
        <v>1000</v>
      </c>
    </row>
    <row r="31" spans="1:3" x14ac:dyDescent="0.25">
      <c r="A31" t="s">
        <v>61</v>
      </c>
      <c r="B31">
        <v>-1000</v>
      </c>
      <c r="C31">
        <v>1000</v>
      </c>
    </row>
    <row r="32" spans="1:3" x14ac:dyDescent="0.25">
      <c r="A32" t="s">
        <v>62</v>
      </c>
      <c r="B32">
        <v>-1000</v>
      </c>
      <c r="C32">
        <v>1000</v>
      </c>
    </row>
    <row r="33" spans="1:3" x14ac:dyDescent="0.25">
      <c r="A33" t="s">
        <v>63</v>
      </c>
      <c r="B33">
        <v>-1000</v>
      </c>
      <c r="C33">
        <v>1000</v>
      </c>
    </row>
    <row r="34" spans="1:3" x14ac:dyDescent="0.25">
      <c r="A34" t="s">
        <v>64</v>
      </c>
      <c r="B34">
        <v>-1000</v>
      </c>
      <c r="C34">
        <v>1000</v>
      </c>
    </row>
    <row r="35" spans="1:3" x14ac:dyDescent="0.25">
      <c r="A35" t="s">
        <v>65</v>
      </c>
      <c r="B35">
        <v>-1000</v>
      </c>
      <c r="C35">
        <v>1000</v>
      </c>
    </row>
    <row r="36" spans="1:3" x14ac:dyDescent="0.25">
      <c r="A36" t="s">
        <v>66</v>
      </c>
      <c r="B36">
        <v>-1000</v>
      </c>
      <c r="C36">
        <v>1000</v>
      </c>
    </row>
    <row r="37" spans="1:3" x14ac:dyDescent="0.25">
      <c r="A37" t="s">
        <v>442</v>
      </c>
      <c r="B37">
        <v>-1000</v>
      </c>
      <c r="C37">
        <v>1000</v>
      </c>
    </row>
    <row r="38" spans="1:3" x14ac:dyDescent="0.25">
      <c r="A38" t="s">
        <v>438</v>
      </c>
      <c r="B38">
        <v>0</v>
      </c>
      <c r="C38">
        <v>0</v>
      </c>
    </row>
    <row r="39" spans="1:3" x14ac:dyDescent="0.25">
      <c r="A39" t="s">
        <v>326</v>
      </c>
      <c r="B39">
        <v>-1000</v>
      </c>
      <c r="C39">
        <v>1000</v>
      </c>
    </row>
    <row r="40" spans="1:3" x14ac:dyDescent="0.25">
      <c r="A40" t="s">
        <v>369</v>
      </c>
      <c r="B40">
        <v>-1000</v>
      </c>
      <c r="C40">
        <v>1000</v>
      </c>
    </row>
    <row r="41" spans="1:3" x14ac:dyDescent="0.25">
      <c r="A41" t="s">
        <v>67</v>
      </c>
      <c r="B41">
        <v>-1000</v>
      </c>
      <c r="C41">
        <v>1000</v>
      </c>
    </row>
    <row r="42" spans="1:3" x14ac:dyDescent="0.25">
      <c r="A42" t="s">
        <v>327</v>
      </c>
      <c r="B42">
        <v>-1000</v>
      </c>
      <c r="C42">
        <v>1000</v>
      </c>
    </row>
    <row r="43" spans="1:3" x14ac:dyDescent="0.25">
      <c r="A43" t="s">
        <v>68</v>
      </c>
      <c r="B43">
        <v>-1000</v>
      </c>
      <c r="C43">
        <v>1000</v>
      </c>
    </row>
    <row r="44" spans="1:3" x14ac:dyDescent="0.25">
      <c r="A44" t="s">
        <v>69</v>
      </c>
      <c r="B44">
        <v>-1000</v>
      </c>
      <c r="C44">
        <v>1000</v>
      </c>
    </row>
    <row r="45" spans="1:3" x14ac:dyDescent="0.25">
      <c r="A45" t="s">
        <v>70</v>
      </c>
      <c r="B45">
        <v>0</v>
      </c>
      <c r="C45">
        <v>0</v>
      </c>
    </row>
    <row r="46" spans="1:3" x14ac:dyDescent="0.25">
      <c r="A46" t="s">
        <v>71</v>
      </c>
      <c r="B46">
        <v>-1000</v>
      </c>
      <c r="C46">
        <v>1000</v>
      </c>
    </row>
    <row r="47" spans="1:3" x14ac:dyDescent="0.25">
      <c r="A47" t="s">
        <v>72</v>
      </c>
      <c r="B47">
        <v>-1000</v>
      </c>
      <c r="C47">
        <v>1000</v>
      </c>
    </row>
    <row r="48" spans="1:3" x14ac:dyDescent="0.25">
      <c r="A48" t="s">
        <v>73</v>
      </c>
      <c r="B48">
        <v>-1000</v>
      </c>
      <c r="C48">
        <v>1000</v>
      </c>
    </row>
    <row r="49" spans="1:3" x14ac:dyDescent="0.25">
      <c r="A49" t="s">
        <v>74</v>
      </c>
      <c r="B49">
        <v>-1000</v>
      </c>
      <c r="C49">
        <v>1000</v>
      </c>
    </row>
    <row r="50" spans="1:3" x14ac:dyDescent="0.25">
      <c r="A50" t="s">
        <v>75</v>
      </c>
      <c r="B50">
        <v>-1000</v>
      </c>
      <c r="C50">
        <v>1000</v>
      </c>
    </row>
    <row r="51" spans="1:3" x14ac:dyDescent="0.25">
      <c r="A51" t="s">
        <v>76</v>
      </c>
      <c r="B51">
        <v>-1000</v>
      </c>
      <c r="C51">
        <v>1000</v>
      </c>
    </row>
    <row r="52" spans="1:3" x14ac:dyDescent="0.25">
      <c r="A52" t="s">
        <v>77</v>
      </c>
      <c r="B52">
        <v>-1000</v>
      </c>
      <c r="C52">
        <v>1000</v>
      </c>
    </row>
    <row r="53" spans="1:3" x14ac:dyDescent="0.25">
      <c r="A53" t="s">
        <v>78</v>
      </c>
      <c r="B53">
        <v>-1000</v>
      </c>
      <c r="C53">
        <v>1000</v>
      </c>
    </row>
    <row r="54" spans="1:3" x14ac:dyDescent="0.25">
      <c r="A54" t="s">
        <v>79</v>
      </c>
      <c r="B54">
        <v>-1000</v>
      </c>
      <c r="C54">
        <v>1000</v>
      </c>
    </row>
    <row r="55" spans="1:3" x14ac:dyDescent="0.25">
      <c r="A55" t="s">
        <v>80</v>
      </c>
      <c r="B55">
        <v>-1000</v>
      </c>
      <c r="C55">
        <v>1000</v>
      </c>
    </row>
    <row r="56" spans="1:3" x14ac:dyDescent="0.25">
      <c r="A56" t="s">
        <v>81</v>
      </c>
      <c r="B56">
        <v>-1000</v>
      </c>
      <c r="C56">
        <v>1000</v>
      </c>
    </row>
    <row r="57" spans="1:3" x14ac:dyDescent="0.25">
      <c r="A57" t="s">
        <v>82</v>
      </c>
      <c r="B57">
        <v>-1000</v>
      </c>
      <c r="C57">
        <v>1000</v>
      </c>
    </row>
    <row r="58" spans="1:3" x14ac:dyDescent="0.25">
      <c r="A58" t="s">
        <v>83</v>
      </c>
      <c r="B58">
        <v>-1000</v>
      </c>
      <c r="C58">
        <v>1000</v>
      </c>
    </row>
    <row r="59" spans="1:3" x14ac:dyDescent="0.25">
      <c r="A59" t="s">
        <v>84</v>
      </c>
      <c r="B59">
        <v>-1000</v>
      </c>
      <c r="C59">
        <v>1000</v>
      </c>
    </row>
    <row r="60" spans="1:3" x14ac:dyDescent="0.25">
      <c r="A60" t="s">
        <v>365</v>
      </c>
      <c r="B60">
        <v>0</v>
      </c>
      <c r="C60">
        <v>0</v>
      </c>
    </row>
    <row r="61" spans="1:3" x14ac:dyDescent="0.25">
      <c r="A61" t="s">
        <v>328</v>
      </c>
      <c r="B61">
        <v>-1000</v>
      </c>
      <c r="C61">
        <v>1000</v>
      </c>
    </row>
    <row r="62" spans="1:3" x14ac:dyDescent="0.25">
      <c r="A62" t="s">
        <v>85</v>
      </c>
      <c r="B62">
        <v>-1000</v>
      </c>
      <c r="C62">
        <v>1000</v>
      </c>
    </row>
    <row r="63" spans="1:3" x14ac:dyDescent="0.25">
      <c r="A63" t="s">
        <v>86</v>
      </c>
      <c r="B63">
        <v>-1000</v>
      </c>
      <c r="C63">
        <v>1000</v>
      </c>
    </row>
    <row r="64" spans="1:3" x14ac:dyDescent="0.25">
      <c r="A64" t="s">
        <v>87</v>
      </c>
      <c r="B64">
        <v>-1000</v>
      </c>
      <c r="C64">
        <v>1000</v>
      </c>
    </row>
    <row r="65" spans="1:3" x14ac:dyDescent="0.25">
      <c r="A65" t="s">
        <v>88</v>
      </c>
      <c r="B65">
        <v>-1000</v>
      </c>
      <c r="C65">
        <v>1000</v>
      </c>
    </row>
    <row r="66" spans="1:3" x14ac:dyDescent="0.25">
      <c r="A66" t="s">
        <v>89</v>
      </c>
      <c r="B66">
        <v>-1000</v>
      </c>
      <c r="C66">
        <v>1000</v>
      </c>
    </row>
    <row r="67" spans="1:3" x14ac:dyDescent="0.25">
      <c r="A67" t="s">
        <v>90</v>
      </c>
      <c r="B67">
        <v>0</v>
      </c>
      <c r="C67">
        <v>1000</v>
      </c>
    </row>
    <row r="68" spans="1:3" x14ac:dyDescent="0.25">
      <c r="A68" t="s">
        <v>329</v>
      </c>
      <c r="B68">
        <v>-1000</v>
      </c>
      <c r="C68">
        <v>1000</v>
      </c>
    </row>
    <row r="69" spans="1:3" x14ac:dyDescent="0.25">
      <c r="A69" t="s">
        <v>91</v>
      </c>
      <c r="B69">
        <v>-1000</v>
      </c>
      <c r="C69">
        <v>1000</v>
      </c>
    </row>
    <row r="70" spans="1:3" x14ac:dyDescent="0.25">
      <c r="A70" t="s">
        <v>92</v>
      </c>
      <c r="B70">
        <v>-1000</v>
      </c>
      <c r="C70">
        <v>1000</v>
      </c>
    </row>
    <row r="71" spans="1:3" x14ac:dyDescent="0.25">
      <c r="A71" t="s">
        <v>93</v>
      </c>
      <c r="B71">
        <v>-1000</v>
      </c>
      <c r="C71">
        <v>1000</v>
      </c>
    </row>
    <row r="72" spans="1:3" x14ac:dyDescent="0.25">
      <c r="A72" t="s">
        <v>94</v>
      </c>
      <c r="B72">
        <v>-1000</v>
      </c>
      <c r="C72">
        <v>1000</v>
      </c>
    </row>
    <row r="73" spans="1:3" x14ac:dyDescent="0.25">
      <c r="A73" t="s">
        <v>330</v>
      </c>
      <c r="B73">
        <v>0</v>
      </c>
      <c r="C73">
        <v>1000</v>
      </c>
    </row>
    <row r="74" spans="1:3" x14ac:dyDescent="0.25">
      <c r="A74" t="s">
        <v>95</v>
      </c>
      <c r="B74">
        <v>-1000</v>
      </c>
      <c r="C74">
        <v>1000</v>
      </c>
    </row>
    <row r="75" spans="1:3" x14ac:dyDescent="0.25">
      <c r="A75" t="s">
        <v>331</v>
      </c>
      <c r="B75">
        <v>-1000</v>
      </c>
      <c r="C75">
        <v>1000</v>
      </c>
    </row>
    <row r="76" spans="1:3" x14ac:dyDescent="0.25">
      <c r="A76" t="s">
        <v>96</v>
      </c>
      <c r="B76">
        <v>-1000</v>
      </c>
      <c r="C76">
        <v>1000</v>
      </c>
    </row>
    <row r="77" spans="1:3" x14ac:dyDescent="0.25">
      <c r="A77" t="s">
        <v>97</v>
      </c>
      <c r="B77">
        <v>-1000</v>
      </c>
      <c r="C77">
        <v>1000</v>
      </c>
    </row>
    <row r="78" spans="1:3" x14ac:dyDescent="0.25">
      <c r="A78" t="s">
        <v>98</v>
      </c>
      <c r="B78">
        <v>-1000</v>
      </c>
      <c r="C78">
        <v>1000</v>
      </c>
    </row>
    <row r="79" spans="1:3" x14ac:dyDescent="0.25">
      <c r="A79" t="s">
        <v>99</v>
      </c>
      <c r="B79">
        <v>-1000</v>
      </c>
      <c r="C79">
        <v>1000</v>
      </c>
    </row>
    <row r="80" spans="1:3" x14ac:dyDescent="0.25">
      <c r="A80" t="s">
        <v>100</v>
      </c>
      <c r="B80">
        <v>-1000</v>
      </c>
      <c r="C80">
        <v>1000</v>
      </c>
    </row>
    <row r="81" spans="1:3" x14ac:dyDescent="0.25">
      <c r="A81" t="s">
        <v>101</v>
      </c>
      <c r="B81">
        <v>-1000</v>
      </c>
      <c r="C81">
        <v>1000</v>
      </c>
    </row>
    <row r="82" spans="1:3" x14ac:dyDescent="0.25">
      <c r="A82" t="s">
        <v>102</v>
      </c>
      <c r="B82">
        <v>-1000</v>
      </c>
      <c r="C82">
        <v>1000</v>
      </c>
    </row>
    <row r="83" spans="1:3" x14ac:dyDescent="0.25">
      <c r="A83" t="s">
        <v>103</v>
      </c>
      <c r="B83">
        <v>-1000</v>
      </c>
      <c r="C83">
        <v>1000</v>
      </c>
    </row>
    <row r="84" spans="1:3" x14ac:dyDescent="0.25">
      <c r="A84" t="s">
        <v>104</v>
      </c>
      <c r="B84">
        <v>-1000</v>
      </c>
      <c r="C84">
        <v>1000</v>
      </c>
    </row>
    <row r="85" spans="1:3" x14ac:dyDescent="0.25">
      <c r="A85" t="s">
        <v>105</v>
      </c>
      <c r="B85">
        <v>-1000</v>
      </c>
      <c r="C85">
        <v>1000</v>
      </c>
    </row>
    <row r="86" spans="1:3" x14ac:dyDescent="0.25">
      <c r="A86" t="s">
        <v>106</v>
      </c>
      <c r="B86">
        <v>-1000</v>
      </c>
      <c r="C86">
        <v>1000</v>
      </c>
    </row>
    <row r="87" spans="1:3" x14ac:dyDescent="0.25">
      <c r="A87" t="s">
        <v>107</v>
      </c>
      <c r="B87">
        <v>-1000</v>
      </c>
      <c r="C87">
        <v>1000</v>
      </c>
    </row>
    <row r="88" spans="1:3" x14ac:dyDescent="0.25">
      <c r="A88" t="s">
        <v>108</v>
      </c>
      <c r="B88">
        <v>-1000</v>
      </c>
      <c r="C88">
        <v>1000</v>
      </c>
    </row>
    <row r="89" spans="1:3" x14ac:dyDescent="0.25">
      <c r="A89" t="s">
        <v>109</v>
      </c>
      <c r="B89">
        <v>-1000</v>
      </c>
      <c r="C89">
        <v>1000</v>
      </c>
    </row>
    <row r="90" spans="1:3" x14ac:dyDescent="0.25">
      <c r="A90" t="s">
        <v>110</v>
      </c>
      <c r="B90">
        <v>-1000</v>
      </c>
      <c r="C90">
        <v>1000</v>
      </c>
    </row>
    <row r="91" spans="1:3" x14ac:dyDescent="0.25">
      <c r="A91" t="s">
        <v>111</v>
      </c>
      <c r="B91">
        <v>-1000</v>
      </c>
      <c r="C91">
        <v>1000</v>
      </c>
    </row>
    <row r="92" spans="1:3" x14ac:dyDescent="0.25">
      <c r="A92" t="s">
        <v>112</v>
      </c>
      <c r="B92">
        <v>-1000</v>
      </c>
      <c r="C92">
        <v>1000</v>
      </c>
    </row>
    <row r="93" spans="1:3" x14ac:dyDescent="0.25">
      <c r="A93" t="s">
        <v>113</v>
      </c>
      <c r="B93">
        <v>-1000</v>
      </c>
      <c r="C93">
        <v>1000</v>
      </c>
    </row>
    <row r="94" spans="1:3" x14ac:dyDescent="0.25">
      <c r="A94" t="s">
        <v>114</v>
      </c>
      <c r="B94">
        <v>-1000</v>
      </c>
      <c r="C94">
        <v>1000</v>
      </c>
    </row>
    <row r="95" spans="1:3" x14ac:dyDescent="0.25">
      <c r="A95" t="s">
        <v>115</v>
      </c>
      <c r="B95">
        <v>-1000</v>
      </c>
      <c r="C95">
        <v>1000</v>
      </c>
    </row>
    <row r="96" spans="1:3" x14ac:dyDescent="0.25">
      <c r="A96" t="s">
        <v>116</v>
      </c>
      <c r="B96">
        <v>-1000</v>
      </c>
      <c r="C96">
        <v>1000</v>
      </c>
    </row>
    <row r="97" spans="1:3" x14ac:dyDescent="0.25">
      <c r="A97" t="s">
        <v>117</v>
      </c>
      <c r="B97">
        <v>-1000</v>
      </c>
      <c r="C97">
        <v>1000</v>
      </c>
    </row>
    <row r="98" spans="1:3" x14ac:dyDescent="0.25">
      <c r="A98" t="s">
        <v>118</v>
      </c>
      <c r="B98">
        <v>-1000</v>
      </c>
      <c r="C98">
        <v>1000</v>
      </c>
    </row>
    <row r="99" spans="1:3" x14ac:dyDescent="0.25">
      <c r="A99" t="s">
        <v>119</v>
      </c>
      <c r="B99">
        <v>-1000</v>
      </c>
      <c r="C99">
        <v>1000</v>
      </c>
    </row>
    <row r="100" spans="1:3" x14ac:dyDescent="0.25">
      <c r="A100" t="s">
        <v>120</v>
      </c>
      <c r="B100">
        <v>-1000</v>
      </c>
      <c r="C100">
        <v>1000</v>
      </c>
    </row>
    <row r="101" spans="1:3" x14ac:dyDescent="0.25">
      <c r="A101" t="s">
        <v>121</v>
      </c>
      <c r="B101">
        <v>-1000</v>
      </c>
      <c r="C101">
        <v>1000</v>
      </c>
    </row>
    <row r="102" spans="1:3" x14ac:dyDescent="0.25">
      <c r="A102" t="s">
        <v>122</v>
      </c>
      <c r="B102">
        <v>-1000</v>
      </c>
      <c r="C102">
        <v>1000</v>
      </c>
    </row>
    <row r="103" spans="1:3" x14ac:dyDescent="0.25">
      <c r="A103" t="s">
        <v>123</v>
      </c>
      <c r="B103">
        <v>-1000</v>
      </c>
      <c r="C103">
        <v>1000</v>
      </c>
    </row>
    <row r="104" spans="1:3" x14ac:dyDescent="0.25">
      <c r="A104" t="s">
        <v>124</v>
      </c>
      <c r="B104">
        <v>-1000</v>
      </c>
      <c r="C104">
        <v>1000</v>
      </c>
    </row>
    <row r="105" spans="1:3" x14ac:dyDescent="0.25">
      <c r="A105" t="s">
        <v>332</v>
      </c>
      <c r="B105">
        <v>-1000</v>
      </c>
      <c r="C105">
        <v>1000</v>
      </c>
    </row>
    <row r="106" spans="1:3" x14ac:dyDescent="0.25">
      <c r="A106" t="s">
        <v>333</v>
      </c>
      <c r="B106">
        <v>-1000</v>
      </c>
      <c r="C106">
        <v>1000</v>
      </c>
    </row>
    <row r="107" spans="1:3" x14ac:dyDescent="0.25">
      <c r="A107" t="s">
        <v>125</v>
      </c>
      <c r="B107">
        <v>-1000</v>
      </c>
      <c r="C107">
        <v>1000</v>
      </c>
    </row>
    <row r="108" spans="1:3" x14ac:dyDescent="0.25">
      <c r="A108" t="s">
        <v>126</v>
      </c>
      <c r="B108">
        <v>-1000</v>
      </c>
      <c r="C108">
        <v>1000</v>
      </c>
    </row>
    <row r="109" spans="1:3" x14ac:dyDescent="0.25">
      <c r="A109" t="s">
        <v>127</v>
      </c>
      <c r="B109">
        <v>-1000</v>
      </c>
      <c r="C109">
        <v>1000</v>
      </c>
    </row>
    <row r="110" spans="1:3" x14ac:dyDescent="0.25">
      <c r="A110" t="s">
        <v>128</v>
      </c>
      <c r="B110">
        <v>-1000</v>
      </c>
      <c r="C110">
        <v>1000</v>
      </c>
    </row>
    <row r="111" spans="1:3" x14ac:dyDescent="0.25">
      <c r="A111" t="s">
        <v>129</v>
      </c>
      <c r="B111">
        <v>-1000</v>
      </c>
      <c r="C111">
        <v>1000</v>
      </c>
    </row>
    <row r="112" spans="1:3" x14ac:dyDescent="0.25">
      <c r="A112" t="s">
        <v>130</v>
      </c>
      <c r="B112">
        <v>-1000</v>
      </c>
      <c r="C112">
        <v>1000</v>
      </c>
    </row>
    <row r="113" spans="1:3" x14ac:dyDescent="0.25">
      <c r="A113" t="s">
        <v>364</v>
      </c>
      <c r="B113">
        <v>-1000</v>
      </c>
      <c r="C113">
        <v>1000</v>
      </c>
    </row>
    <row r="114" spans="1:3" x14ac:dyDescent="0.25">
      <c r="A114" t="s">
        <v>131</v>
      </c>
      <c r="B114">
        <v>-1000</v>
      </c>
      <c r="C114">
        <v>1000</v>
      </c>
    </row>
    <row r="115" spans="1:3" x14ac:dyDescent="0.25">
      <c r="A115" t="s">
        <v>132</v>
      </c>
      <c r="B115">
        <v>-1000</v>
      </c>
      <c r="C115">
        <v>1000</v>
      </c>
    </row>
    <row r="116" spans="1:3" x14ac:dyDescent="0.25">
      <c r="A116" t="s">
        <v>334</v>
      </c>
      <c r="B116">
        <v>-1000</v>
      </c>
      <c r="C116">
        <v>1000</v>
      </c>
    </row>
    <row r="117" spans="1:3" x14ac:dyDescent="0.25">
      <c r="A117" t="s">
        <v>133</v>
      </c>
      <c r="B117">
        <v>-1000</v>
      </c>
      <c r="C117">
        <v>1000</v>
      </c>
    </row>
    <row r="118" spans="1:3" x14ac:dyDescent="0.25">
      <c r="A118" t="s">
        <v>135</v>
      </c>
      <c r="B118">
        <v>-1000</v>
      </c>
      <c r="C118">
        <v>1000</v>
      </c>
    </row>
    <row r="119" spans="1:3" x14ac:dyDescent="0.25">
      <c r="A119" t="s">
        <v>136</v>
      </c>
      <c r="B119">
        <v>-1000</v>
      </c>
      <c r="C119">
        <v>1000</v>
      </c>
    </row>
    <row r="120" spans="1:3" x14ac:dyDescent="0.25">
      <c r="A120" t="s">
        <v>137</v>
      </c>
      <c r="B120">
        <v>-1000</v>
      </c>
      <c r="C120">
        <v>1000</v>
      </c>
    </row>
    <row r="121" spans="1:3" x14ac:dyDescent="0.25">
      <c r="A121" t="s">
        <v>138</v>
      </c>
      <c r="B121">
        <v>-1000</v>
      </c>
      <c r="C121">
        <v>1000</v>
      </c>
    </row>
    <row r="122" spans="1:3" x14ac:dyDescent="0.25">
      <c r="A122" t="s">
        <v>139</v>
      </c>
      <c r="B122">
        <v>-1000</v>
      </c>
      <c r="C122">
        <v>1000</v>
      </c>
    </row>
    <row r="123" spans="1:3" x14ac:dyDescent="0.25">
      <c r="A123" t="s">
        <v>140</v>
      </c>
      <c r="B123">
        <v>-1000</v>
      </c>
      <c r="C123">
        <v>1000</v>
      </c>
    </row>
    <row r="124" spans="1:3" x14ac:dyDescent="0.25">
      <c r="A124" t="s">
        <v>141</v>
      </c>
      <c r="B124">
        <v>-1000</v>
      </c>
      <c r="C124">
        <v>1000</v>
      </c>
    </row>
    <row r="125" spans="1:3" x14ac:dyDescent="0.25">
      <c r="A125" t="s">
        <v>142</v>
      </c>
      <c r="B125">
        <v>-1000</v>
      </c>
      <c r="C125">
        <v>1000</v>
      </c>
    </row>
    <row r="126" spans="1:3" x14ac:dyDescent="0.25">
      <c r="A126" t="s">
        <v>367</v>
      </c>
      <c r="B126">
        <v>0</v>
      </c>
      <c r="C126">
        <v>1000</v>
      </c>
    </row>
    <row r="127" spans="1:3" x14ac:dyDescent="0.25">
      <c r="A127" t="s">
        <v>368</v>
      </c>
      <c r="B127">
        <v>0</v>
      </c>
      <c r="C127">
        <v>0</v>
      </c>
    </row>
    <row r="128" spans="1:3" x14ac:dyDescent="0.25">
      <c r="A128" t="s">
        <v>143</v>
      </c>
      <c r="B128">
        <v>-1000</v>
      </c>
      <c r="C128">
        <v>1000</v>
      </c>
    </row>
    <row r="129" spans="1:3" x14ac:dyDescent="0.25">
      <c r="A129" t="s">
        <v>366</v>
      </c>
      <c r="B129">
        <v>0</v>
      </c>
      <c r="C129">
        <v>0</v>
      </c>
    </row>
    <row r="130" spans="1:3" x14ac:dyDescent="0.25">
      <c r="A130" t="s">
        <v>145</v>
      </c>
      <c r="B130">
        <v>-1000</v>
      </c>
      <c r="C130">
        <v>1000</v>
      </c>
    </row>
    <row r="131" spans="1:3" x14ac:dyDescent="0.25">
      <c r="A131" t="s">
        <v>146</v>
      </c>
      <c r="B131">
        <v>0</v>
      </c>
      <c r="C131">
        <v>1000</v>
      </c>
    </row>
    <row r="132" spans="1:3" x14ac:dyDescent="0.25">
      <c r="A132" t="s">
        <v>147</v>
      </c>
      <c r="B132">
        <v>0</v>
      </c>
      <c r="C132">
        <v>1000</v>
      </c>
    </row>
    <row r="133" spans="1:3" x14ac:dyDescent="0.25">
      <c r="A133" t="s">
        <v>148</v>
      </c>
      <c r="B133">
        <v>-1000</v>
      </c>
      <c r="C133">
        <v>1000</v>
      </c>
    </row>
    <row r="134" spans="1:3" x14ac:dyDescent="0.25">
      <c r="A134" t="s">
        <v>149</v>
      </c>
      <c r="B134">
        <v>-1000</v>
      </c>
      <c r="C134">
        <v>1000</v>
      </c>
    </row>
    <row r="135" spans="1:3" x14ac:dyDescent="0.25">
      <c r="A135" t="s">
        <v>361</v>
      </c>
      <c r="B135">
        <v>0</v>
      </c>
      <c r="C135">
        <v>1000</v>
      </c>
    </row>
    <row r="136" spans="1:3" x14ac:dyDescent="0.25">
      <c r="A136" t="s">
        <v>362</v>
      </c>
      <c r="B136">
        <v>0</v>
      </c>
      <c r="C136">
        <v>1000</v>
      </c>
    </row>
    <row r="137" spans="1:3" x14ac:dyDescent="0.25">
      <c r="A137" t="s">
        <v>151</v>
      </c>
      <c r="B137">
        <v>-1000</v>
      </c>
      <c r="C137">
        <v>1000</v>
      </c>
    </row>
    <row r="138" spans="1:3" x14ac:dyDescent="0.25">
      <c r="A138" t="s">
        <v>152</v>
      </c>
      <c r="B138">
        <v>-1000</v>
      </c>
      <c r="C138">
        <v>1000</v>
      </c>
    </row>
    <row r="139" spans="1:3" x14ac:dyDescent="0.25">
      <c r="A139" t="s">
        <v>153</v>
      </c>
      <c r="B139">
        <v>-1000</v>
      </c>
      <c r="C139">
        <v>1000</v>
      </c>
    </row>
    <row r="140" spans="1:3" x14ac:dyDescent="0.25">
      <c r="A140" t="s">
        <v>154</v>
      </c>
      <c r="B140">
        <v>-1000</v>
      </c>
      <c r="C140">
        <v>1000</v>
      </c>
    </row>
    <row r="141" spans="1:3" x14ac:dyDescent="0.25">
      <c r="A141" t="s">
        <v>144</v>
      </c>
      <c r="B141">
        <v>0</v>
      </c>
      <c r="C141">
        <v>1000</v>
      </c>
    </row>
    <row r="142" spans="1:3" x14ac:dyDescent="0.25">
      <c r="A142" t="s">
        <v>155</v>
      </c>
      <c r="B142">
        <v>-1000</v>
      </c>
      <c r="C142">
        <v>1000</v>
      </c>
    </row>
    <row r="143" spans="1:3" x14ac:dyDescent="0.25">
      <c r="A143" t="s">
        <v>156</v>
      </c>
      <c r="B143">
        <v>-1000</v>
      </c>
      <c r="C143">
        <v>1000</v>
      </c>
    </row>
    <row r="144" spans="1:3" x14ac:dyDescent="0.25">
      <c r="A144" t="s">
        <v>157</v>
      </c>
      <c r="B144">
        <v>-1000</v>
      </c>
      <c r="C144">
        <v>1000</v>
      </c>
    </row>
    <row r="145" spans="1:3" x14ac:dyDescent="0.25">
      <c r="A145" t="s">
        <v>158</v>
      </c>
      <c r="B145">
        <v>-1000</v>
      </c>
      <c r="C145">
        <v>1000</v>
      </c>
    </row>
    <row r="146" spans="1:3" x14ac:dyDescent="0.25">
      <c r="A146" t="s">
        <v>159</v>
      </c>
      <c r="B146">
        <v>-1000</v>
      </c>
      <c r="C146">
        <v>1000</v>
      </c>
    </row>
    <row r="147" spans="1:3" x14ac:dyDescent="0.25">
      <c r="A147" t="s">
        <v>385</v>
      </c>
      <c r="B147">
        <v>-1000</v>
      </c>
      <c r="C147">
        <v>1000</v>
      </c>
    </row>
    <row r="148" spans="1:3" x14ac:dyDescent="0.25">
      <c r="A148" t="s">
        <v>160</v>
      </c>
      <c r="B148">
        <v>-1000</v>
      </c>
      <c r="C148">
        <v>1000</v>
      </c>
    </row>
    <row r="149" spans="1:3" x14ac:dyDescent="0.25">
      <c r="A149" t="s">
        <v>161</v>
      </c>
      <c r="B149">
        <v>-1000</v>
      </c>
      <c r="C149">
        <v>1000</v>
      </c>
    </row>
    <row r="150" spans="1:3" x14ac:dyDescent="0.25">
      <c r="A150" t="s">
        <v>162</v>
      </c>
      <c r="B150">
        <v>-1000</v>
      </c>
      <c r="C150">
        <v>1000</v>
      </c>
    </row>
    <row r="151" spans="1:3" x14ac:dyDescent="0.25">
      <c r="A151" t="s">
        <v>163</v>
      </c>
      <c r="B151">
        <v>-1000</v>
      </c>
      <c r="C151">
        <v>1000</v>
      </c>
    </row>
    <row r="152" spans="1:3" x14ac:dyDescent="0.25">
      <c r="A152" t="s">
        <v>164</v>
      </c>
      <c r="B152">
        <v>-1000</v>
      </c>
      <c r="C152">
        <v>1000</v>
      </c>
    </row>
    <row r="153" spans="1:3" x14ac:dyDescent="0.25">
      <c r="A153" t="s">
        <v>165</v>
      </c>
      <c r="B153">
        <v>-1000</v>
      </c>
      <c r="C153">
        <v>1000</v>
      </c>
    </row>
    <row r="154" spans="1:3" x14ac:dyDescent="0.25">
      <c r="A154" t="s">
        <v>166</v>
      </c>
      <c r="B154">
        <v>-1000</v>
      </c>
      <c r="C154">
        <v>1000</v>
      </c>
    </row>
    <row r="155" spans="1:3" x14ac:dyDescent="0.25">
      <c r="A155" t="s">
        <v>167</v>
      </c>
      <c r="B155">
        <v>-1000</v>
      </c>
      <c r="C155">
        <v>1000</v>
      </c>
    </row>
    <row r="156" spans="1:3" x14ac:dyDescent="0.25">
      <c r="A156" t="s">
        <v>335</v>
      </c>
      <c r="B156">
        <v>-1000</v>
      </c>
      <c r="C156">
        <v>1000</v>
      </c>
    </row>
    <row r="157" spans="1:3" x14ac:dyDescent="0.25">
      <c r="A157" t="s">
        <v>168</v>
      </c>
      <c r="B157">
        <v>-1000</v>
      </c>
      <c r="C157">
        <v>1000</v>
      </c>
    </row>
    <row r="158" spans="1:3" x14ac:dyDescent="0.25">
      <c r="A158" t="s">
        <v>169</v>
      </c>
      <c r="B158">
        <v>-1000</v>
      </c>
      <c r="C158">
        <v>1000</v>
      </c>
    </row>
    <row r="159" spans="1:3" x14ac:dyDescent="0.25">
      <c r="A159" t="s">
        <v>170</v>
      </c>
      <c r="B159">
        <v>-1000</v>
      </c>
      <c r="C159">
        <v>1000</v>
      </c>
    </row>
    <row r="160" spans="1:3" x14ac:dyDescent="0.25">
      <c r="A160" t="s">
        <v>171</v>
      </c>
      <c r="B160">
        <v>-1000</v>
      </c>
      <c r="C160">
        <v>1000</v>
      </c>
    </row>
    <row r="161" spans="1:3" x14ac:dyDescent="0.25">
      <c r="A161" t="s">
        <v>173</v>
      </c>
      <c r="B161">
        <v>-1000</v>
      </c>
      <c r="C161">
        <v>1000</v>
      </c>
    </row>
    <row r="162" spans="1:3" x14ac:dyDescent="0.25">
      <c r="A162" t="s">
        <v>174</v>
      </c>
      <c r="B162">
        <v>-1000</v>
      </c>
      <c r="C162">
        <v>1000</v>
      </c>
    </row>
    <row r="163" spans="1:3" x14ac:dyDescent="0.25">
      <c r="A163" t="s">
        <v>175</v>
      </c>
      <c r="B163">
        <v>-1000</v>
      </c>
      <c r="C163">
        <v>1000</v>
      </c>
    </row>
    <row r="164" spans="1:3" x14ac:dyDescent="0.25">
      <c r="A164" t="s">
        <v>435</v>
      </c>
      <c r="B164">
        <v>-1000</v>
      </c>
      <c r="C164">
        <v>1000</v>
      </c>
    </row>
    <row r="165" spans="1:3" x14ac:dyDescent="0.25">
      <c r="A165" t="s">
        <v>176</v>
      </c>
      <c r="B165">
        <v>-1000</v>
      </c>
      <c r="C165">
        <v>1000</v>
      </c>
    </row>
    <row r="166" spans="1:3" x14ac:dyDescent="0.25">
      <c r="A166" t="s">
        <v>177</v>
      </c>
      <c r="B166">
        <v>-1000</v>
      </c>
      <c r="C166">
        <v>1000</v>
      </c>
    </row>
    <row r="167" spans="1:3" x14ac:dyDescent="0.25">
      <c r="A167" t="s">
        <v>363</v>
      </c>
      <c r="B167">
        <v>0</v>
      </c>
      <c r="C167">
        <v>0</v>
      </c>
    </row>
    <row r="168" spans="1:3" x14ac:dyDescent="0.25">
      <c r="A168" t="s">
        <v>336</v>
      </c>
      <c r="B168">
        <v>-1000</v>
      </c>
      <c r="C168">
        <v>1000</v>
      </c>
    </row>
    <row r="169" spans="1:3" x14ac:dyDescent="0.25">
      <c r="A169" t="s">
        <v>360</v>
      </c>
      <c r="B169">
        <v>100</v>
      </c>
      <c r="C169">
        <v>100</v>
      </c>
    </row>
    <row r="170" spans="1:3" x14ac:dyDescent="0.25">
      <c r="A170" t="s">
        <v>178</v>
      </c>
      <c r="B170">
        <f>val!C7</f>
        <v>194.96583861362987</v>
      </c>
      <c r="C170">
        <f>val!C7</f>
        <v>194.96583861362987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E7C0C-2DB4-4BFE-974C-B55F582D295B}">
  <dimension ref="A1:C170"/>
  <sheetViews>
    <sheetView topLeftCell="A31" workbookViewId="0">
      <selection activeCell="A37" sqref="A37"/>
    </sheetView>
  </sheetViews>
  <sheetFormatPr defaultRowHeight="15" x14ac:dyDescent="0.25"/>
  <cols>
    <col min="1" max="1" width="18.5703125" bestFit="1" customWidth="1"/>
  </cols>
  <sheetData>
    <row r="1" spans="1:3" x14ac:dyDescent="0.25">
      <c r="A1" t="s">
        <v>5</v>
      </c>
      <c r="B1" t="s">
        <v>352</v>
      </c>
      <c r="C1" t="s">
        <v>353</v>
      </c>
    </row>
    <row r="2" spans="1:3" x14ac:dyDescent="0.25">
      <c r="A2" t="s">
        <v>39</v>
      </c>
      <c r="B2">
        <v>-1000</v>
      </c>
      <c r="C2">
        <v>1000</v>
      </c>
    </row>
    <row r="3" spans="1:3" x14ac:dyDescent="0.25">
      <c r="A3" t="s">
        <v>359</v>
      </c>
      <c r="B3">
        <v>-1000</v>
      </c>
      <c r="C3">
        <v>1000</v>
      </c>
    </row>
    <row r="4" spans="1:3" x14ac:dyDescent="0.25">
      <c r="A4" t="s">
        <v>386</v>
      </c>
      <c r="B4">
        <v>0</v>
      </c>
      <c r="C4">
        <v>0</v>
      </c>
    </row>
    <row r="5" spans="1:3" x14ac:dyDescent="0.25">
      <c r="A5" t="s">
        <v>358</v>
      </c>
      <c r="B5">
        <v>0</v>
      </c>
      <c r="C5">
        <v>0</v>
      </c>
    </row>
    <row r="6" spans="1:3" x14ac:dyDescent="0.25">
      <c r="A6" t="s">
        <v>40</v>
      </c>
      <c r="B6">
        <v>-1000</v>
      </c>
      <c r="C6">
        <v>1000</v>
      </c>
    </row>
    <row r="7" spans="1:3" x14ac:dyDescent="0.25">
      <c r="A7" t="s">
        <v>41</v>
      </c>
      <c r="B7">
        <v>-1000</v>
      </c>
      <c r="C7">
        <v>1000</v>
      </c>
    </row>
    <row r="8" spans="1:3" x14ac:dyDescent="0.25">
      <c r="A8" t="s">
        <v>42</v>
      </c>
      <c r="B8">
        <v>-1000</v>
      </c>
      <c r="C8">
        <v>1000</v>
      </c>
    </row>
    <row r="9" spans="1:3" x14ac:dyDescent="0.25">
      <c r="A9" t="s">
        <v>43</v>
      </c>
      <c r="B9">
        <v>-1000</v>
      </c>
      <c r="C9">
        <v>1000</v>
      </c>
    </row>
    <row r="10" spans="1:3" x14ac:dyDescent="0.25">
      <c r="A10" t="s">
        <v>44</v>
      </c>
      <c r="B10">
        <v>-1000</v>
      </c>
      <c r="C10">
        <v>1000</v>
      </c>
    </row>
    <row r="11" spans="1:3" x14ac:dyDescent="0.25">
      <c r="A11" t="s">
        <v>45</v>
      </c>
      <c r="B11">
        <v>0</v>
      </c>
      <c r="C11">
        <v>0</v>
      </c>
    </row>
    <row r="12" spans="1:3" x14ac:dyDescent="0.25">
      <c r="A12" t="s">
        <v>324</v>
      </c>
      <c r="B12">
        <v>0</v>
      </c>
      <c r="C12">
        <v>1000</v>
      </c>
    </row>
    <row r="13" spans="1:3" x14ac:dyDescent="0.25">
      <c r="A13" t="s">
        <v>371</v>
      </c>
      <c r="B13">
        <v>-1000</v>
      </c>
      <c r="C13">
        <v>1000</v>
      </c>
    </row>
    <row r="14" spans="1:3" x14ac:dyDescent="0.25">
      <c r="A14" t="s">
        <v>371</v>
      </c>
      <c r="B14">
        <v>-1000</v>
      </c>
      <c r="C14">
        <v>1000</v>
      </c>
    </row>
    <row r="15" spans="1:3" x14ac:dyDescent="0.25">
      <c r="A15" t="s">
        <v>46</v>
      </c>
      <c r="B15">
        <v>-1000</v>
      </c>
      <c r="C15">
        <v>1000</v>
      </c>
    </row>
    <row r="16" spans="1:3" x14ac:dyDescent="0.25">
      <c r="A16" t="s">
        <v>47</v>
      </c>
      <c r="B16">
        <v>-1000</v>
      </c>
      <c r="C16">
        <v>1000</v>
      </c>
    </row>
    <row r="17" spans="1:3" x14ac:dyDescent="0.25">
      <c r="A17" t="s">
        <v>48</v>
      </c>
      <c r="B17">
        <v>-1000</v>
      </c>
      <c r="C17">
        <v>1000</v>
      </c>
    </row>
    <row r="18" spans="1:3" x14ac:dyDescent="0.25">
      <c r="A18" t="s">
        <v>49</v>
      </c>
      <c r="B18">
        <v>-1000</v>
      </c>
      <c r="C18">
        <v>1000</v>
      </c>
    </row>
    <row r="19" spans="1:3" x14ac:dyDescent="0.25">
      <c r="A19" t="s">
        <v>50</v>
      </c>
      <c r="B19">
        <v>-1000</v>
      </c>
      <c r="C19">
        <v>1000</v>
      </c>
    </row>
    <row r="20" spans="1:3" x14ac:dyDescent="0.25">
      <c r="A20" t="s">
        <v>51</v>
      </c>
      <c r="B20">
        <v>-1000</v>
      </c>
      <c r="C20">
        <v>1000</v>
      </c>
    </row>
    <row r="21" spans="1:3" x14ac:dyDescent="0.25">
      <c r="A21" t="s">
        <v>52</v>
      </c>
      <c r="B21">
        <v>-1000</v>
      </c>
      <c r="C21">
        <v>1000</v>
      </c>
    </row>
    <row r="22" spans="1:3" x14ac:dyDescent="0.25">
      <c r="A22" t="s">
        <v>53</v>
      </c>
      <c r="B22">
        <v>-1000</v>
      </c>
      <c r="C22">
        <v>1000</v>
      </c>
    </row>
    <row r="23" spans="1:3" x14ac:dyDescent="0.25">
      <c r="A23" t="s">
        <v>54</v>
      </c>
      <c r="B23">
        <v>-1000</v>
      </c>
      <c r="C23">
        <v>1000</v>
      </c>
    </row>
    <row r="24" spans="1:3" x14ac:dyDescent="0.25">
      <c r="A24" t="s">
        <v>55</v>
      </c>
      <c r="B24">
        <v>-1000</v>
      </c>
      <c r="C24">
        <v>1000</v>
      </c>
    </row>
    <row r="25" spans="1:3" x14ac:dyDescent="0.25">
      <c r="A25" t="s">
        <v>56</v>
      </c>
      <c r="B25">
        <v>-1000</v>
      </c>
      <c r="C25">
        <v>1000</v>
      </c>
    </row>
    <row r="26" spans="1:3" x14ac:dyDescent="0.25">
      <c r="A26" t="s">
        <v>57</v>
      </c>
      <c r="B26">
        <v>-1000</v>
      </c>
      <c r="C26">
        <v>1000</v>
      </c>
    </row>
    <row r="27" spans="1:3" x14ac:dyDescent="0.25">
      <c r="A27" t="s">
        <v>58</v>
      </c>
      <c r="B27">
        <v>-1000</v>
      </c>
      <c r="C27">
        <v>1000</v>
      </c>
    </row>
    <row r="28" spans="1:3" x14ac:dyDescent="0.25">
      <c r="A28" t="s">
        <v>59</v>
      </c>
      <c r="B28">
        <v>-1000</v>
      </c>
      <c r="C28">
        <v>1000</v>
      </c>
    </row>
    <row r="29" spans="1:3" x14ac:dyDescent="0.25">
      <c r="A29" t="s">
        <v>325</v>
      </c>
      <c r="B29">
        <v>-1000</v>
      </c>
      <c r="C29">
        <v>1000</v>
      </c>
    </row>
    <row r="30" spans="1:3" x14ac:dyDescent="0.25">
      <c r="A30" t="s">
        <v>60</v>
      </c>
      <c r="B30">
        <v>-1000</v>
      </c>
      <c r="C30">
        <v>1000</v>
      </c>
    </row>
    <row r="31" spans="1:3" x14ac:dyDescent="0.25">
      <c r="A31" t="s">
        <v>61</v>
      </c>
      <c r="B31">
        <v>-1000</v>
      </c>
      <c r="C31">
        <v>1000</v>
      </c>
    </row>
    <row r="32" spans="1:3" x14ac:dyDescent="0.25">
      <c r="A32" t="s">
        <v>62</v>
      </c>
      <c r="B32">
        <v>-1000</v>
      </c>
      <c r="C32">
        <v>1000</v>
      </c>
    </row>
    <row r="33" spans="1:3" x14ac:dyDescent="0.25">
      <c r="A33" t="s">
        <v>63</v>
      </c>
      <c r="B33">
        <v>-1000</v>
      </c>
      <c r="C33">
        <v>1000</v>
      </c>
    </row>
    <row r="34" spans="1:3" x14ac:dyDescent="0.25">
      <c r="A34" t="s">
        <v>64</v>
      </c>
      <c r="B34">
        <v>-1000</v>
      </c>
      <c r="C34">
        <v>1000</v>
      </c>
    </row>
    <row r="35" spans="1:3" x14ac:dyDescent="0.25">
      <c r="A35" t="s">
        <v>65</v>
      </c>
      <c r="B35">
        <v>-1000</v>
      </c>
      <c r="C35">
        <v>1000</v>
      </c>
    </row>
    <row r="36" spans="1:3" x14ac:dyDescent="0.25">
      <c r="A36" t="s">
        <v>66</v>
      </c>
      <c r="B36">
        <v>-1000</v>
      </c>
      <c r="C36">
        <v>1000</v>
      </c>
    </row>
    <row r="37" spans="1:3" x14ac:dyDescent="0.25">
      <c r="A37" t="s">
        <v>442</v>
      </c>
      <c r="B37">
        <v>-1000</v>
      </c>
      <c r="C37">
        <v>1000</v>
      </c>
    </row>
    <row r="38" spans="1:3" x14ac:dyDescent="0.25">
      <c r="A38" t="s">
        <v>438</v>
      </c>
      <c r="B38">
        <v>0</v>
      </c>
      <c r="C38">
        <v>0</v>
      </c>
    </row>
    <row r="39" spans="1:3" x14ac:dyDescent="0.25">
      <c r="A39" t="s">
        <v>326</v>
      </c>
      <c r="B39">
        <v>0</v>
      </c>
      <c r="C39">
        <v>0</v>
      </c>
    </row>
    <row r="40" spans="1:3" x14ac:dyDescent="0.25">
      <c r="A40" t="s">
        <v>369</v>
      </c>
      <c r="B40">
        <v>-1000</v>
      </c>
      <c r="C40">
        <v>1000</v>
      </c>
    </row>
    <row r="41" spans="1:3" x14ac:dyDescent="0.25">
      <c r="A41" t="s">
        <v>67</v>
      </c>
      <c r="B41">
        <v>-1000</v>
      </c>
      <c r="C41">
        <v>1000</v>
      </c>
    </row>
    <row r="42" spans="1:3" x14ac:dyDescent="0.25">
      <c r="A42" t="s">
        <v>327</v>
      </c>
      <c r="B42">
        <v>-1000</v>
      </c>
      <c r="C42">
        <v>1000</v>
      </c>
    </row>
    <row r="43" spans="1:3" x14ac:dyDescent="0.25">
      <c r="A43" t="s">
        <v>68</v>
      </c>
      <c r="B43">
        <v>-1000</v>
      </c>
      <c r="C43">
        <v>1000</v>
      </c>
    </row>
    <row r="44" spans="1:3" x14ac:dyDescent="0.25">
      <c r="A44" t="s">
        <v>69</v>
      </c>
      <c r="B44">
        <v>-1000</v>
      </c>
      <c r="C44">
        <v>1000</v>
      </c>
    </row>
    <row r="45" spans="1:3" x14ac:dyDescent="0.25">
      <c r="A45" t="s">
        <v>70</v>
      </c>
      <c r="B45">
        <v>0</v>
      </c>
      <c r="C45">
        <v>0</v>
      </c>
    </row>
    <row r="46" spans="1:3" x14ac:dyDescent="0.25">
      <c r="A46" t="s">
        <v>71</v>
      </c>
      <c r="B46">
        <v>-1000</v>
      </c>
      <c r="C46">
        <v>1000</v>
      </c>
    </row>
    <row r="47" spans="1:3" x14ac:dyDescent="0.25">
      <c r="A47" t="s">
        <v>72</v>
      </c>
      <c r="B47">
        <v>-1000</v>
      </c>
      <c r="C47">
        <v>1000</v>
      </c>
    </row>
    <row r="48" spans="1:3" x14ac:dyDescent="0.25">
      <c r="A48" t="s">
        <v>73</v>
      </c>
      <c r="B48">
        <v>-1000</v>
      </c>
      <c r="C48">
        <v>1000</v>
      </c>
    </row>
    <row r="49" spans="1:3" x14ac:dyDescent="0.25">
      <c r="A49" t="s">
        <v>74</v>
      </c>
      <c r="B49">
        <v>-1000</v>
      </c>
      <c r="C49">
        <v>1000</v>
      </c>
    </row>
    <row r="50" spans="1:3" x14ac:dyDescent="0.25">
      <c r="A50" t="s">
        <v>75</v>
      </c>
      <c r="B50">
        <v>-1000</v>
      </c>
      <c r="C50">
        <v>1000</v>
      </c>
    </row>
    <row r="51" spans="1:3" x14ac:dyDescent="0.25">
      <c r="A51" t="s">
        <v>76</v>
      </c>
      <c r="B51">
        <v>-1000</v>
      </c>
      <c r="C51">
        <v>1000</v>
      </c>
    </row>
    <row r="52" spans="1:3" x14ac:dyDescent="0.25">
      <c r="A52" t="s">
        <v>77</v>
      </c>
      <c r="B52">
        <v>-1000</v>
      </c>
      <c r="C52">
        <v>1000</v>
      </c>
    </row>
    <row r="53" spans="1:3" x14ac:dyDescent="0.25">
      <c r="A53" t="s">
        <v>78</v>
      </c>
      <c r="B53">
        <v>-1000</v>
      </c>
      <c r="C53">
        <v>1000</v>
      </c>
    </row>
    <row r="54" spans="1:3" x14ac:dyDescent="0.25">
      <c r="A54" t="s">
        <v>79</v>
      </c>
      <c r="B54">
        <v>-1000</v>
      </c>
      <c r="C54">
        <v>1000</v>
      </c>
    </row>
    <row r="55" spans="1:3" x14ac:dyDescent="0.25">
      <c r="A55" t="s">
        <v>80</v>
      </c>
      <c r="B55">
        <v>-1000</v>
      </c>
      <c r="C55">
        <v>1000</v>
      </c>
    </row>
    <row r="56" spans="1:3" x14ac:dyDescent="0.25">
      <c r="A56" t="s">
        <v>81</v>
      </c>
      <c r="B56">
        <v>-1000</v>
      </c>
      <c r="C56">
        <v>1000</v>
      </c>
    </row>
    <row r="57" spans="1:3" x14ac:dyDescent="0.25">
      <c r="A57" t="s">
        <v>82</v>
      </c>
      <c r="B57">
        <v>-1000</v>
      </c>
      <c r="C57">
        <v>1000</v>
      </c>
    </row>
    <row r="58" spans="1:3" x14ac:dyDescent="0.25">
      <c r="A58" t="s">
        <v>83</v>
      </c>
      <c r="B58">
        <v>-1000</v>
      </c>
      <c r="C58">
        <v>1000</v>
      </c>
    </row>
    <row r="59" spans="1:3" x14ac:dyDescent="0.25">
      <c r="A59" t="s">
        <v>84</v>
      </c>
      <c r="B59">
        <v>-1000</v>
      </c>
      <c r="C59">
        <v>1000</v>
      </c>
    </row>
    <row r="60" spans="1:3" x14ac:dyDescent="0.25">
      <c r="A60" t="s">
        <v>365</v>
      </c>
      <c r="B60">
        <v>0</v>
      </c>
      <c r="C60">
        <v>0</v>
      </c>
    </row>
    <row r="61" spans="1:3" x14ac:dyDescent="0.25">
      <c r="A61" t="s">
        <v>328</v>
      </c>
      <c r="B61">
        <v>-1000</v>
      </c>
      <c r="C61">
        <v>1000</v>
      </c>
    </row>
    <row r="62" spans="1:3" x14ac:dyDescent="0.25">
      <c r="A62" t="s">
        <v>85</v>
      </c>
      <c r="B62">
        <v>-1000</v>
      </c>
      <c r="C62">
        <v>1000</v>
      </c>
    </row>
    <row r="63" spans="1:3" x14ac:dyDescent="0.25">
      <c r="A63" t="s">
        <v>86</v>
      </c>
      <c r="B63">
        <v>-1000</v>
      </c>
      <c r="C63">
        <v>1000</v>
      </c>
    </row>
    <row r="64" spans="1:3" x14ac:dyDescent="0.25">
      <c r="A64" t="s">
        <v>87</v>
      </c>
      <c r="B64">
        <v>-1000</v>
      </c>
      <c r="C64">
        <v>1000</v>
      </c>
    </row>
    <row r="65" spans="1:3" x14ac:dyDescent="0.25">
      <c r="A65" t="s">
        <v>88</v>
      </c>
      <c r="B65">
        <v>-1000</v>
      </c>
      <c r="C65">
        <v>1000</v>
      </c>
    </row>
    <row r="66" spans="1:3" x14ac:dyDescent="0.25">
      <c r="A66" t="s">
        <v>89</v>
      </c>
      <c r="B66">
        <v>-1000</v>
      </c>
      <c r="C66">
        <v>1000</v>
      </c>
    </row>
    <row r="67" spans="1:3" x14ac:dyDescent="0.25">
      <c r="A67" t="s">
        <v>90</v>
      </c>
      <c r="B67">
        <v>0</v>
      </c>
      <c r="C67">
        <v>1000</v>
      </c>
    </row>
    <row r="68" spans="1:3" x14ac:dyDescent="0.25">
      <c r="A68" t="s">
        <v>329</v>
      </c>
      <c r="B68">
        <v>-1000</v>
      </c>
      <c r="C68">
        <v>1000</v>
      </c>
    </row>
    <row r="69" spans="1:3" x14ac:dyDescent="0.25">
      <c r="A69" t="s">
        <v>91</v>
      </c>
      <c r="B69">
        <v>-1000</v>
      </c>
      <c r="C69">
        <v>1000</v>
      </c>
    </row>
    <row r="70" spans="1:3" x14ac:dyDescent="0.25">
      <c r="A70" t="s">
        <v>92</v>
      </c>
      <c r="B70">
        <v>-1000</v>
      </c>
      <c r="C70">
        <v>1000</v>
      </c>
    </row>
    <row r="71" spans="1:3" x14ac:dyDescent="0.25">
      <c r="A71" t="s">
        <v>93</v>
      </c>
      <c r="B71">
        <v>-1000</v>
      </c>
      <c r="C71">
        <v>1000</v>
      </c>
    </row>
    <row r="72" spans="1:3" x14ac:dyDescent="0.25">
      <c r="A72" t="s">
        <v>94</v>
      </c>
      <c r="B72">
        <v>-1000</v>
      </c>
      <c r="C72">
        <v>1000</v>
      </c>
    </row>
    <row r="73" spans="1:3" x14ac:dyDescent="0.25">
      <c r="A73" t="s">
        <v>330</v>
      </c>
      <c r="B73">
        <v>0</v>
      </c>
      <c r="C73">
        <v>1000</v>
      </c>
    </row>
    <row r="74" spans="1:3" x14ac:dyDescent="0.25">
      <c r="A74" t="s">
        <v>95</v>
      </c>
      <c r="B74">
        <v>-1000</v>
      </c>
      <c r="C74">
        <v>1000</v>
      </c>
    </row>
    <row r="75" spans="1:3" x14ac:dyDescent="0.25">
      <c r="A75" t="s">
        <v>331</v>
      </c>
      <c r="B75">
        <v>-1000</v>
      </c>
      <c r="C75">
        <v>1000</v>
      </c>
    </row>
    <row r="76" spans="1:3" x14ac:dyDescent="0.25">
      <c r="A76" t="s">
        <v>96</v>
      </c>
      <c r="B76">
        <v>-1000</v>
      </c>
      <c r="C76">
        <v>1000</v>
      </c>
    </row>
    <row r="77" spans="1:3" x14ac:dyDescent="0.25">
      <c r="A77" t="s">
        <v>97</v>
      </c>
      <c r="B77">
        <v>-1000</v>
      </c>
      <c r="C77">
        <v>1000</v>
      </c>
    </row>
    <row r="78" spans="1:3" x14ac:dyDescent="0.25">
      <c r="A78" t="s">
        <v>98</v>
      </c>
      <c r="B78">
        <v>-1000</v>
      </c>
      <c r="C78">
        <v>1000</v>
      </c>
    </row>
    <row r="79" spans="1:3" x14ac:dyDescent="0.25">
      <c r="A79" t="s">
        <v>99</v>
      </c>
      <c r="B79">
        <v>-1000</v>
      </c>
      <c r="C79">
        <v>1000</v>
      </c>
    </row>
    <row r="80" spans="1:3" x14ac:dyDescent="0.25">
      <c r="A80" t="s">
        <v>100</v>
      </c>
      <c r="B80">
        <v>-1000</v>
      </c>
      <c r="C80">
        <v>1000</v>
      </c>
    </row>
    <row r="81" spans="1:3" x14ac:dyDescent="0.25">
      <c r="A81" t="s">
        <v>101</v>
      </c>
      <c r="B81">
        <v>-1000</v>
      </c>
      <c r="C81">
        <v>1000</v>
      </c>
    </row>
    <row r="82" spans="1:3" x14ac:dyDescent="0.25">
      <c r="A82" t="s">
        <v>102</v>
      </c>
      <c r="B82">
        <v>-1000</v>
      </c>
      <c r="C82">
        <v>1000</v>
      </c>
    </row>
    <row r="83" spans="1:3" x14ac:dyDescent="0.25">
      <c r="A83" t="s">
        <v>103</v>
      </c>
      <c r="B83">
        <v>-1000</v>
      </c>
      <c r="C83">
        <v>1000</v>
      </c>
    </row>
    <row r="84" spans="1:3" x14ac:dyDescent="0.25">
      <c r="A84" t="s">
        <v>104</v>
      </c>
      <c r="B84">
        <v>-1000</v>
      </c>
      <c r="C84">
        <v>1000</v>
      </c>
    </row>
    <row r="85" spans="1:3" x14ac:dyDescent="0.25">
      <c r="A85" t="s">
        <v>105</v>
      </c>
      <c r="B85">
        <v>-1000</v>
      </c>
      <c r="C85">
        <v>1000</v>
      </c>
    </row>
    <row r="86" spans="1:3" x14ac:dyDescent="0.25">
      <c r="A86" t="s">
        <v>106</v>
      </c>
      <c r="B86">
        <v>-1000</v>
      </c>
      <c r="C86">
        <v>1000</v>
      </c>
    </row>
    <row r="87" spans="1:3" x14ac:dyDescent="0.25">
      <c r="A87" t="s">
        <v>107</v>
      </c>
      <c r="B87">
        <v>-1000</v>
      </c>
      <c r="C87">
        <v>1000</v>
      </c>
    </row>
    <row r="88" spans="1:3" x14ac:dyDescent="0.25">
      <c r="A88" t="s">
        <v>108</v>
      </c>
      <c r="B88">
        <v>-1000</v>
      </c>
      <c r="C88">
        <v>1000</v>
      </c>
    </row>
    <row r="89" spans="1:3" x14ac:dyDescent="0.25">
      <c r="A89" t="s">
        <v>109</v>
      </c>
      <c r="B89">
        <v>-1000</v>
      </c>
      <c r="C89">
        <v>1000</v>
      </c>
    </row>
    <row r="90" spans="1:3" x14ac:dyDescent="0.25">
      <c r="A90" t="s">
        <v>110</v>
      </c>
      <c r="B90">
        <v>-1000</v>
      </c>
      <c r="C90">
        <v>1000</v>
      </c>
    </row>
    <row r="91" spans="1:3" x14ac:dyDescent="0.25">
      <c r="A91" t="s">
        <v>111</v>
      </c>
      <c r="B91">
        <v>-1000</v>
      </c>
      <c r="C91">
        <v>1000</v>
      </c>
    </row>
    <row r="92" spans="1:3" x14ac:dyDescent="0.25">
      <c r="A92" t="s">
        <v>112</v>
      </c>
      <c r="B92">
        <v>-1000</v>
      </c>
      <c r="C92">
        <v>1000</v>
      </c>
    </row>
    <row r="93" spans="1:3" x14ac:dyDescent="0.25">
      <c r="A93" t="s">
        <v>113</v>
      </c>
      <c r="B93">
        <v>-1000</v>
      </c>
      <c r="C93">
        <v>1000</v>
      </c>
    </row>
    <row r="94" spans="1:3" x14ac:dyDescent="0.25">
      <c r="A94" t="s">
        <v>114</v>
      </c>
      <c r="B94">
        <v>-1000</v>
      </c>
      <c r="C94">
        <v>1000</v>
      </c>
    </row>
    <row r="95" spans="1:3" x14ac:dyDescent="0.25">
      <c r="A95" t="s">
        <v>115</v>
      </c>
      <c r="B95">
        <v>-1000</v>
      </c>
      <c r="C95">
        <v>1000</v>
      </c>
    </row>
    <row r="96" spans="1:3" x14ac:dyDescent="0.25">
      <c r="A96" t="s">
        <v>116</v>
      </c>
      <c r="B96">
        <v>-1000</v>
      </c>
      <c r="C96">
        <v>1000</v>
      </c>
    </row>
    <row r="97" spans="1:3" x14ac:dyDescent="0.25">
      <c r="A97" t="s">
        <v>117</v>
      </c>
      <c r="B97">
        <v>-1000</v>
      </c>
      <c r="C97">
        <v>1000</v>
      </c>
    </row>
    <row r="98" spans="1:3" x14ac:dyDescent="0.25">
      <c r="A98" t="s">
        <v>118</v>
      </c>
      <c r="B98">
        <v>-1000</v>
      </c>
      <c r="C98">
        <v>1000</v>
      </c>
    </row>
    <row r="99" spans="1:3" x14ac:dyDescent="0.25">
      <c r="A99" t="s">
        <v>119</v>
      </c>
      <c r="B99">
        <v>-1000</v>
      </c>
      <c r="C99">
        <v>1000</v>
      </c>
    </row>
    <row r="100" spans="1:3" x14ac:dyDescent="0.25">
      <c r="A100" t="s">
        <v>120</v>
      </c>
      <c r="B100">
        <v>-1000</v>
      </c>
      <c r="C100">
        <v>1000</v>
      </c>
    </row>
    <row r="101" spans="1:3" x14ac:dyDescent="0.25">
      <c r="A101" t="s">
        <v>121</v>
      </c>
      <c r="B101">
        <v>-1000</v>
      </c>
      <c r="C101">
        <v>1000</v>
      </c>
    </row>
    <row r="102" spans="1:3" x14ac:dyDescent="0.25">
      <c r="A102" t="s">
        <v>122</v>
      </c>
      <c r="B102">
        <v>-1000</v>
      </c>
      <c r="C102">
        <v>1000</v>
      </c>
    </row>
    <row r="103" spans="1:3" x14ac:dyDescent="0.25">
      <c r="A103" t="s">
        <v>123</v>
      </c>
      <c r="B103">
        <v>-1000</v>
      </c>
      <c r="C103">
        <v>1000</v>
      </c>
    </row>
    <row r="104" spans="1:3" x14ac:dyDescent="0.25">
      <c r="A104" t="s">
        <v>124</v>
      </c>
      <c r="B104">
        <v>-1000</v>
      </c>
      <c r="C104">
        <v>1000</v>
      </c>
    </row>
    <row r="105" spans="1:3" x14ac:dyDescent="0.25">
      <c r="A105" t="s">
        <v>332</v>
      </c>
      <c r="B105">
        <v>-1000</v>
      </c>
      <c r="C105">
        <v>1000</v>
      </c>
    </row>
    <row r="106" spans="1:3" x14ac:dyDescent="0.25">
      <c r="A106" t="s">
        <v>333</v>
      </c>
      <c r="B106">
        <v>-1000</v>
      </c>
      <c r="C106">
        <v>1000</v>
      </c>
    </row>
    <row r="107" spans="1:3" x14ac:dyDescent="0.25">
      <c r="A107" t="s">
        <v>125</v>
      </c>
      <c r="B107">
        <v>-1000</v>
      </c>
      <c r="C107">
        <v>1000</v>
      </c>
    </row>
    <row r="108" spans="1:3" x14ac:dyDescent="0.25">
      <c r="A108" t="s">
        <v>126</v>
      </c>
      <c r="B108">
        <v>-1000</v>
      </c>
      <c r="C108">
        <v>1000</v>
      </c>
    </row>
    <row r="109" spans="1:3" x14ac:dyDescent="0.25">
      <c r="A109" t="s">
        <v>127</v>
      </c>
      <c r="B109">
        <v>-1000</v>
      </c>
      <c r="C109">
        <v>1000</v>
      </c>
    </row>
    <row r="110" spans="1:3" x14ac:dyDescent="0.25">
      <c r="A110" t="s">
        <v>128</v>
      </c>
      <c r="B110">
        <v>-1000</v>
      </c>
      <c r="C110">
        <v>1000</v>
      </c>
    </row>
    <row r="111" spans="1:3" x14ac:dyDescent="0.25">
      <c r="A111" t="s">
        <v>129</v>
      </c>
      <c r="B111">
        <v>-1000</v>
      </c>
      <c r="C111">
        <v>1000</v>
      </c>
    </row>
    <row r="112" spans="1:3" x14ac:dyDescent="0.25">
      <c r="A112" t="s">
        <v>130</v>
      </c>
      <c r="B112">
        <v>-1000</v>
      </c>
      <c r="C112">
        <v>1000</v>
      </c>
    </row>
    <row r="113" spans="1:3" x14ac:dyDescent="0.25">
      <c r="A113" t="s">
        <v>364</v>
      </c>
      <c r="B113">
        <v>-1000</v>
      </c>
      <c r="C113">
        <v>1000</v>
      </c>
    </row>
    <row r="114" spans="1:3" x14ac:dyDescent="0.25">
      <c r="A114" t="s">
        <v>131</v>
      </c>
      <c r="B114">
        <v>-1000</v>
      </c>
      <c r="C114">
        <v>1000</v>
      </c>
    </row>
    <row r="115" spans="1:3" x14ac:dyDescent="0.25">
      <c r="A115" t="s">
        <v>132</v>
      </c>
      <c r="B115">
        <v>-1000</v>
      </c>
      <c r="C115">
        <v>1000</v>
      </c>
    </row>
    <row r="116" spans="1:3" x14ac:dyDescent="0.25">
      <c r="A116" t="s">
        <v>334</v>
      </c>
      <c r="B116">
        <v>-1000</v>
      </c>
      <c r="C116">
        <v>1000</v>
      </c>
    </row>
    <row r="117" spans="1:3" x14ac:dyDescent="0.25">
      <c r="A117" t="s">
        <v>133</v>
      </c>
      <c r="B117">
        <v>-1000</v>
      </c>
      <c r="C117">
        <v>1000</v>
      </c>
    </row>
    <row r="118" spans="1:3" x14ac:dyDescent="0.25">
      <c r="A118" t="s">
        <v>135</v>
      </c>
      <c r="B118">
        <v>-1000</v>
      </c>
      <c r="C118">
        <v>1000</v>
      </c>
    </row>
    <row r="119" spans="1:3" x14ac:dyDescent="0.25">
      <c r="A119" t="s">
        <v>136</v>
      </c>
      <c r="B119">
        <v>-1000</v>
      </c>
      <c r="C119">
        <v>1000</v>
      </c>
    </row>
    <row r="120" spans="1:3" x14ac:dyDescent="0.25">
      <c r="A120" t="s">
        <v>137</v>
      </c>
      <c r="B120">
        <v>-1000</v>
      </c>
      <c r="C120">
        <v>1000</v>
      </c>
    </row>
    <row r="121" spans="1:3" x14ac:dyDescent="0.25">
      <c r="A121" t="s">
        <v>138</v>
      </c>
      <c r="B121">
        <v>-1000</v>
      </c>
      <c r="C121">
        <v>1000</v>
      </c>
    </row>
    <row r="122" spans="1:3" x14ac:dyDescent="0.25">
      <c r="A122" t="s">
        <v>139</v>
      </c>
      <c r="B122">
        <v>-1000</v>
      </c>
      <c r="C122">
        <v>1000</v>
      </c>
    </row>
    <row r="123" spans="1:3" x14ac:dyDescent="0.25">
      <c r="A123" t="s">
        <v>140</v>
      </c>
      <c r="B123">
        <v>-1000</v>
      </c>
      <c r="C123">
        <v>1000</v>
      </c>
    </row>
    <row r="124" spans="1:3" x14ac:dyDescent="0.25">
      <c r="A124" t="s">
        <v>141</v>
      </c>
      <c r="B124">
        <v>-1000</v>
      </c>
      <c r="C124">
        <v>1000</v>
      </c>
    </row>
    <row r="125" spans="1:3" x14ac:dyDescent="0.25">
      <c r="A125" t="s">
        <v>142</v>
      </c>
      <c r="B125">
        <v>-1000</v>
      </c>
      <c r="C125">
        <v>1000</v>
      </c>
    </row>
    <row r="126" spans="1:3" x14ac:dyDescent="0.25">
      <c r="A126" t="s">
        <v>367</v>
      </c>
      <c r="B126">
        <v>0</v>
      </c>
      <c r="C126">
        <v>1000</v>
      </c>
    </row>
    <row r="127" spans="1:3" x14ac:dyDescent="0.25">
      <c r="A127" t="s">
        <v>368</v>
      </c>
      <c r="B127">
        <v>0</v>
      </c>
      <c r="C127">
        <v>0</v>
      </c>
    </row>
    <row r="128" spans="1:3" x14ac:dyDescent="0.25">
      <c r="A128" t="s">
        <v>143</v>
      </c>
      <c r="B128">
        <v>-1000</v>
      </c>
      <c r="C128">
        <v>1000</v>
      </c>
    </row>
    <row r="129" spans="1:3" x14ac:dyDescent="0.25">
      <c r="A129" t="s">
        <v>366</v>
      </c>
      <c r="B129">
        <v>-1000</v>
      </c>
      <c r="C129">
        <v>1000</v>
      </c>
    </row>
    <row r="130" spans="1:3" x14ac:dyDescent="0.25">
      <c r="A130" t="s">
        <v>145</v>
      </c>
      <c r="B130">
        <v>-1000</v>
      </c>
      <c r="C130">
        <v>1000</v>
      </c>
    </row>
    <row r="131" spans="1:3" x14ac:dyDescent="0.25">
      <c r="A131" t="s">
        <v>146</v>
      </c>
      <c r="B131">
        <v>0</v>
      </c>
      <c r="C131">
        <v>1000</v>
      </c>
    </row>
    <row r="132" spans="1:3" x14ac:dyDescent="0.25">
      <c r="A132" t="s">
        <v>147</v>
      </c>
      <c r="B132">
        <v>0</v>
      </c>
      <c r="C132">
        <v>1000</v>
      </c>
    </row>
    <row r="133" spans="1:3" x14ac:dyDescent="0.25">
      <c r="A133" t="s">
        <v>148</v>
      </c>
      <c r="B133">
        <v>-1000</v>
      </c>
      <c r="C133">
        <v>1000</v>
      </c>
    </row>
    <row r="134" spans="1:3" x14ac:dyDescent="0.25">
      <c r="A134" t="s">
        <v>149</v>
      </c>
      <c r="B134">
        <v>-1000</v>
      </c>
      <c r="C134">
        <v>1000</v>
      </c>
    </row>
    <row r="135" spans="1:3" x14ac:dyDescent="0.25">
      <c r="A135" t="s">
        <v>361</v>
      </c>
      <c r="B135">
        <v>0</v>
      </c>
      <c r="C135">
        <v>1000</v>
      </c>
    </row>
    <row r="136" spans="1:3" x14ac:dyDescent="0.25">
      <c r="A136" t="s">
        <v>362</v>
      </c>
      <c r="B136">
        <v>0</v>
      </c>
      <c r="C136">
        <v>1000</v>
      </c>
    </row>
    <row r="137" spans="1:3" x14ac:dyDescent="0.25">
      <c r="A137" t="s">
        <v>151</v>
      </c>
      <c r="B137">
        <v>-1000</v>
      </c>
      <c r="C137">
        <v>1000</v>
      </c>
    </row>
    <row r="138" spans="1:3" x14ac:dyDescent="0.25">
      <c r="A138" t="s">
        <v>152</v>
      </c>
      <c r="B138">
        <v>-1000</v>
      </c>
      <c r="C138">
        <v>1000</v>
      </c>
    </row>
    <row r="139" spans="1:3" x14ac:dyDescent="0.25">
      <c r="A139" t="s">
        <v>153</v>
      </c>
      <c r="B139">
        <v>-1000</v>
      </c>
      <c r="C139">
        <v>1000</v>
      </c>
    </row>
    <row r="140" spans="1:3" x14ac:dyDescent="0.25">
      <c r="A140" t="s">
        <v>154</v>
      </c>
      <c r="B140">
        <v>-1000</v>
      </c>
      <c r="C140">
        <v>1000</v>
      </c>
    </row>
    <row r="141" spans="1:3" x14ac:dyDescent="0.25">
      <c r="A141" t="s">
        <v>144</v>
      </c>
      <c r="B141">
        <v>0</v>
      </c>
      <c r="C141">
        <v>1000</v>
      </c>
    </row>
    <row r="142" spans="1:3" x14ac:dyDescent="0.25">
      <c r="A142" t="s">
        <v>155</v>
      </c>
      <c r="B142">
        <v>-1000</v>
      </c>
      <c r="C142">
        <v>1000</v>
      </c>
    </row>
    <row r="143" spans="1:3" x14ac:dyDescent="0.25">
      <c r="A143" t="s">
        <v>156</v>
      </c>
      <c r="B143">
        <v>-1000</v>
      </c>
      <c r="C143">
        <v>1000</v>
      </c>
    </row>
    <row r="144" spans="1:3" x14ac:dyDescent="0.25">
      <c r="A144" t="s">
        <v>157</v>
      </c>
      <c r="B144">
        <v>-1000</v>
      </c>
      <c r="C144">
        <v>1000</v>
      </c>
    </row>
    <row r="145" spans="1:3" x14ac:dyDescent="0.25">
      <c r="A145" t="s">
        <v>158</v>
      </c>
      <c r="B145">
        <v>-1000</v>
      </c>
      <c r="C145">
        <v>1000</v>
      </c>
    </row>
    <row r="146" spans="1:3" x14ac:dyDescent="0.25">
      <c r="A146" t="s">
        <v>159</v>
      </c>
      <c r="B146">
        <v>-1000</v>
      </c>
      <c r="C146">
        <v>1000</v>
      </c>
    </row>
    <row r="147" spans="1:3" x14ac:dyDescent="0.25">
      <c r="A147" t="s">
        <v>385</v>
      </c>
      <c r="B147">
        <v>-1000</v>
      </c>
      <c r="C147">
        <v>1000</v>
      </c>
    </row>
    <row r="148" spans="1:3" x14ac:dyDescent="0.25">
      <c r="A148" t="s">
        <v>160</v>
      </c>
      <c r="B148">
        <v>-1000</v>
      </c>
      <c r="C148">
        <v>1000</v>
      </c>
    </row>
    <row r="149" spans="1:3" x14ac:dyDescent="0.25">
      <c r="A149" t="s">
        <v>161</v>
      </c>
      <c r="B149">
        <v>-1000</v>
      </c>
      <c r="C149">
        <v>1000</v>
      </c>
    </row>
    <row r="150" spans="1:3" x14ac:dyDescent="0.25">
      <c r="A150" t="s">
        <v>162</v>
      </c>
      <c r="B150">
        <v>-1000</v>
      </c>
      <c r="C150">
        <v>1000</v>
      </c>
    </row>
    <row r="151" spans="1:3" x14ac:dyDescent="0.25">
      <c r="A151" t="s">
        <v>163</v>
      </c>
      <c r="B151">
        <v>-1000</v>
      </c>
      <c r="C151">
        <v>1000</v>
      </c>
    </row>
    <row r="152" spans="1:3" x14ac:dyDescent="0.25">
      <c r="A152" t="s">
        <v>164</v>
      </c>
      <c r="B152">
        <v>-1000</v>
      </c>
      <c r="C152">
        <v>1000</v>
      </c>
    </row>
    <row r="153" spans="1:3" x14ac:dyDescent="0.25">
      <c r="A153" t="s">
        <v>165</v>
      </c>
      <c r="B153">
        <v>-1000</v>
      </c>
      <c r="C153">
        <v>1000</v>
      </c>
    </row>
    <row r="154" spans="1:3" x14ac:dyDescent="0.25">
      <c r="A154" t="s">
        <v>166</v>
      </c>
      <c r="B154">
        <v>-1000</v>
      </c>
      <c r="C154">
        <v>1000</v>
      </c>
    </row>
    <row r="155" spans="1:3" x14ac:dyDescent="0.25">
      <c r="A155" t="s">
        <v>167</v>
      </c>
      <c r="B155">
        <v>-1000</v>
      </c>
      <c r="C155">
        <v>1000</v>
      </c>
    </row>
    <row r="156" spans="1:3" x14ac:dyDescent="0.25">
      <c r="A156" t="s">
        <v>335</v>
      </c>
      <c r="B156">
        <v>-1000</v>
      </c>
      <c r="C156">
        <v>1000</v>
      </c>
    </row>
    <row r="157" spans="1:3" x14ac:dyDescent="0.25">
      <c r="A157" t="s">
        <v>168</v>
      </c>
      <c r="B157">
        <v>-1000</v>
      </c>
      <c r="C157">
        <v>1000</v>
      </c>
    </row>
    <row r="158" spans="1:3" x14ac:dyDescent="0.25">
      <c r="A158" t="s">
        <v>169</v>
      </c>
      <c r="B158">
        <v>-1000</v>
      </c>
      <c r="C158">
        <v>1000</v>
      </c>
    </row>
    <row r="159" spans="1:3" x14ac:dyDescent="0.25">
      <c r="A159" t="s">
        <v>170</v>
      </c>
      <c r="B159">
        <v>-1000</v>
      </c>
      <c r="C159">
        <v>1000</v>
      </c>
    </row>
    <row r="160" spans="1:3" x14ac:dyDescent="0.25">
      <c r="A160" t="s">
        <v>171</v>
      </c>
      <c r="B160">
        <v>-1000</v>
      </c>
      <c r="C160">
        <v>1000</v>
      </c>
    </row>
    <row r="161" spans="1:3" x14ac:dyDescent="0.25">
      <c r="A161" t="s">
        <v>173</v>
      </c>
      <c r="B161">
        <v>-1000</v>
      </c>
      <c r="C161">
        <v>1000</v>
      </c>
    </row>
    <row r="162" spans="1:3" x14ac:dyDescent="0.25">
      <c r="A162" t="s">
        <v>174</v>
      </c>
      <c r="B162">
        <v>-1000</v>
      </c>
      <c r="C162">
        <v>1000</v>
      </c>
    </row>
    <row r="163" spans="1:3" x14ac:dyDescent="0.25">
      <c r="A163" t="s">
        <v>175</v>
      </c>
      <c r="B163">
        <v>-1000</v>
      </c>
      <c r="C163">
        <v>1000</v>
      </c>
    </row>
    <row r="164" spans="1:3" x14ac:dyDescent="0.25">
      <c r="A164" t="s">
        <v>435</v>
      </c>
      <c r="B164">
        <v>-1000</v>
      </c>
      <c r="C164">
        <v>1000</v>
      </c>
    </row>
    <row r="165" spans="1:3" x14ac:dyDescent="0.25">
      <c r="A165" t="s">
        <v>176</v>
      </c>
      <c r="B165">
        <v>-1000</v>
      </c>
      <c r="C165">
        <v>1000</v>
      </c>
    </row>
    <row r="166" spans="1:3" x14ac:dyDescent="0.25">
      <c r="A166" t="s">
        <v>177</v>
      </c>
      <c r="B166">
        <v>-1000</v>
      </c>
      <c r="C166">
        <v>1000</v>
      </c>
    </row>
    <row r="167" spans="1:3" x14ac:dyDescent="0.25">
      <c r="A167" t="s">
        <v>363</v>
      </c>
      <c r="B167">
        <v>0</v>
      </c>
      <c r="C167">
        <v>0</v>
      </c>
    </row>
    <row r="168" spans="1:3" x14ac:dyDescent="0.25">
      <c r="A168" t="s">
        <v>336</v>
      </c>
      <c r="B168">
        <v>-1000</v>
      </c>
      <c r="C168">
        <v>1000</v>
      </c>
    </row>
    <row r="169" spans="1:3" x14ac:dyDescent="0.25">
      <c r="A169" t="s">
        <v>360</v>
      </c>
      <c r="B169">
        <v>100</v>
      </c>
      <c r="C169">
        <v>100</v>
      </c>
    </row>
    <row r="170" spans="1:3" x14ac:dyDescent="0.25">
      <c r="A170" t="s">
        <v>178</v>
      </c>
      <c r="B170">
        <f>val!C7</f>
        <v>194.96583861362987</v>
      </c>
      <c r="C170">
        <f>val!C7</f>
        <v>194.96583861362987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3A7C2-FC5A-488B-934E-C63DB3578C72}">
  <dimension ref="A1:C170"/>
  <sheetViews>
    <sheetView topLeftCell="A28" workbookViewId="0">
      <selection activeCell="A37" sqref="A37"/>
    </sheetView>
  </sheetViews>
  <sheetFormatPr defaultRowHeight="15" x14ac:dyDescent="0.25"/>
  <cols>
    <col min="1" max="1" width="18.5703125" bestFit="1" customWidth="1"/>
  </cols>
  <sheetData>
    <row r="1" spans="1:3" x14ac:dyDescent="0.25">
      <c r="A1" t="s">
        <v>5</v>
      </c>
      <c r="B1" t="s">
        <v>352</v>
      </c>
      <c r="C1" t="s">
        <v>353</v>
      </c>
    </row>
    <row r="2" spans="1:3" x14ac:dyDescent="0.25">
      <c r="A2" t="s">
        <v>39</v>
      </c>
      <c r="B2">
        <v>-1000</v>
      </c>
      <c r="C2">
        <v>1000</v>
      </c>
    </row>
    <row r="3" spans="1:3" x14ac:dyDescent="0.25">
      <c r="A3" t="s">
        <v>359</v>
      </c>
      <c r="B3">
        <v>0</v>
      </c>
      <c r="C3">
        <v>0</v>
      </c>
    </row>
    <row r="4" spans="1:3" x14ac:dyDescent="0.25">
      <c r="A4" t="s">
        <v>386</v>
      </c>
      <c r="B4">
        <v>-1000</v>
      </c>
      <c r="C4">
        <v>1000</v>
      </c>
    </row>
    <row r="5" spans="1:3" x14ac:dyDescent="0.25">
      <c r="A5" t="s">
        <v>358</v>
      </c>
      <c r="B5">
        <v>0</v>
      </c>
      <c r="C5">
        <v>0</v>
      </c>
    </row>
    <row r="6" spans="1:3" x14ac:dyDescent="0.25">
      <c r="A6" t="s">
        <v>40</v>
      </c>
      <c r="B6">
        <v>-1000</v>
      </c>
      <c r="C6">
        <v>1000</v>
      </c>
    </row>
    <row r="7" spans="1:3" x14ac:dyDescent="0.25">
      <c r="A7" t="s">
        <v>41</v>
      </c>
      <c r="B7">
        <v>-1000</v>
      </c>
      <c r="C7">
        <v>1000</v>
      </c>
    </row>
    <row r="8" spans="1:3" x14ac:dyDescent="0.25">
      <c r="A8" t="s">
        <v>42</v>
      </c>
      <c r="B8">
        <v>-1000</v>
      </c>
      <c r="C8">
        <v>1000</v>
      </c>
    </row>
    <row r="9" spans="1:3" x14ac:dyDescent="0.25">
      <c r="A9" t="s">
        <v>43</v>
      </c>
      <c r="B9">
        <v>-1000</v>
      </c>
      <c r="C9">
        <v>1000</v>
      </c>
    </row>
    <row r="10" spans="1:3" x14ac:dyDescent="0.25">
      <c r="A10" t="s">
        <v>44</v>
      </c>
      <c r="B10">
        <v>-1000</v>
      </c>
      <c r="C10">
        <v>1000</v>
      </c>
    </row>
    <row r="11" spans="1:3" x14ac:dyDescent="0.25">
      <c r="A11" t="s">
        <v>45</v>
      </c>
      <c r="B11">
        <v>0</v>
      </c>
      <c r="C11">
        <v>1000</v>
      </c>
    </row>
    <row r="12" spans="1:3" x14ac:dyDescent="0.25">
      <c r="A12" t="s">
        <v>324</v>
      </c>
      <c r="B12">
        <v>0</v>
      </c>
      <c r="C12">
        <v>1000</v>
      </c>
    </row>
    <row r="13" spans="1:3" x14ac:dyDescent="0.25">
      <c r="A13" t="s">
        <v>371</v>
      </c>
      <c r="B13">
        <v>-1000</v>
      </c>
      <c r="C13">
        <v>1000</v>
      </c>
    </row>
    <row r="14" spans="1:3" x14ac:dyDescent="0.25">
      <c r="A14" t="s">
        <v>371</v>
      </c>
      <c r="B14">
        <v>-1000</v>
      </c>
      <c r="C14">
        <v>1000</v>
      </c>
    </row>
    <row r="15" spans="1:3" x14ac:dyDescent="0.25">
      <c r="A15" t="s">
        <v>46</v>
      </c>
      <c r="B15">
        <v>-1000</v>
      </c>
      <c r="C15">
        <v>1000</v>
      </c>
    </row>
    <row r="16" spans="1:3" x14ac:dyDescent="0.25">
      <c r="A16" t="s">
        <v>47</v>
      </c>
      <c r="B16">
        <v>-1000</v>
      </c>
      <c r="C16">
        <v>1000</v>
      </c>
    </row>
    <row r="17" spans="1:3" x14ac:dyDescent="0.25">
      <c r="A17" t="s">
        <v>48</v>
      </c>
      <c r="B17">
        <v>-1000</v>
      </c>
      <c r="C17">
        <v>1000</v>
      </c>
    </row>
    <row r="18" spans="1:3" x14ac:dyDescent="0.25">
      <c r="A18" t="s">
        <v>49</v>
      </c>
      <c r="B18">
        <v>-1000</v>
      </c>
      <c r="C18">
        <v>1000</v>
      </c>
    </row>
    <row r="19" spans="1:3" x14ac:dyDescent="0.25">
      <c r="A19" t="s">
        <v>50</v>
      </c>
      <c r="B19">
        <v>-1000</v>
      </c>
      <c r="C19">
        <v>1000</v>
      </c>
    </row>
    <row r="20" spans="1:3" x14ac:dyDescent="0.25">
      <c r="A20" t="s">
        <v>51</v>
      </c>
      <c r="B20">
        <v>-1000</v>
      </c>
      <c r="C20">
        <v>1000</v>
      </c>
    </row>
    <row r="21" spans="1:3" x14ac:dyDescent="0.25">
      <c r="A21" t="s">
        <v>52</v>
      </c>
      <c r="B21">
        <v>-1000</v>
      </c>
      <c r="C21">
        <v>1000</v>
      </c>
    </row>
    <row r="22" spans="1:3" x14ac:dyDescent="0.25">
      <c r="A22" t="s">
        <v>53</v>
      </c>
      <c r="B22">
        <v>-1000</v>
      </c>
      <c r="C22">
        <v>1000</v>
      </c>
    </row>
    <row r="23" spans="1:3" x14ac:dyDescent="0.25">
      <c r="A23" t="s">
        <v>54</v>
      </c>
      <c r="B23">
        <v>-1000</v>
      </c>
      <c r="C23">
        <v>1000</v>
      </c>
    </row>
    <row r="24" spans="1:3" x14ac:dyDescent="0.25">
      <c r="A24" t="s">
        <v>55</v>
      </c>
      <c r="B24">
        <v>-1000</v>
      </c>
      <c r="C24">
        <v>1000</v>
      </c>
    </row>
    <row r="25" spans="1:3" x14ac:dyDescent="0.25">
      <c r="A25" t="s">
        <v>56</v>
      </c>
      <c r="B25">
        <v>-1000</v>
      </c>
      <c r="C25">
        <v>1000</v>
      </c>
    </row>
    <row r="26" spans="1:3" x14ac:dyDescent="0.25">
      <c r="A26" t="s">
        <v>57</v>
      </c>
      <c r="B26">
        <v>-1000</v>
      </c>
      <c r="C26">
        <v>1000</v>
      </c>
    </row>
    <row r="27" spans="1:3" x14ac:dyDescent="0.25">
      <c r="A27" t="s">
        <v>58</v>
      </c>
      <c r="B27">
        <v>-1000</v>
      </c>
      <c r="C27">
        <v>1000</v>
      </c>
    </row>
    <row r="28" spans="1:3" x14ac:dyDescent="0.25">
      <c r="A28" t="s">
        <v>59</v>
      </c>
      <c r="B28">
        <v>-1000</v>
      </c>
      <c r="C28">
        <v>1000</v>
      </c>
    </row>
    <row r="29" spans="1:3" x14ac:dyDescent="0.25">
      <c r="A29" t="s">
        <v>325</v>
      </c>
      <c r="B29">
        <v>-1000</v>
      </c>
      <c r="C29">
        <v>1000</v>
      </c>
    </row>
    <row r="30" spans="1:3" x14ac:dyDescent="0.25">
      <c r="A30" t="s">
        <v>60</v>
      </c>
      <c r="B30">
        <v>-1000</v>
      </c>
      <c r="C30">
        <v>1000</v>
      </c>
    </row>
    <row r="31" spans="1:3" x14ac:dyDescent="0.25">
      <c r="A31" t="s">
        <v>61</v>
      </c>
      <c r="B31">
        <v>-1000</v>
      </c>
      <c r="C31">
        <v>1000</v>
      </c>
    </row>
    <row r="32" spans="1:3" x14ac:dyDescent="0.25">
      <c r="A32" t="s">
        <v>62</v>
      </c>
      <c r="B32">
        <v>-1000</v>
      </c>
      <c r="C32">
        <v>1000</v>
      </c>
    </row>
    <row r="33" spans="1:3" x14ac:dyDescent="0.25">
      <c r="A33" t="s">
        <v>63</v>
      </c>
      <c r="B33">
        <v>-1000</v>
      </c>
      <c r="C33">
        <v>1000</v>
      </c>
    </row>
    <row r="34" spans="1:3" x14ac:dyDescent="0.25">
      <c r="A34" t="s">
        <v>64</v>
      </c>
      <c r="B34">
        <v>-1000</v>
      </c>
      <c r="C34">
        <v>1000</v>
      </c>
    </row>
    <row r="35" spans="1:3" x14ac:dyDescent="0.25">
      <c r="A35" t="s">
        <v>65</v>
      </c>
      <c r="B35">
        <v>-1000</v>
      </c>
      <c r="C35">
        <v>1000</v>
      </c>
    </row>
    <row r="36" spans="1:3" x14ac:dyDescent="0.25">
      <c r="A36" t="s">
        <v>66</v>
      </c>
      <c r="B36">
        <v>-1000</v>
      </c>
      <c r="C36">
        <v>1000</v>
      </c>
    </row>
    <row r="37" spans="1:3" x14ac:dyDescent="0.25">
      <c r="A37" t="s">
        <v>442</v>
      </c>
      <c r="B37">
        <v>-1000</v>
      </c>
      <c r="C37">
        <v>1000</v>
      </c>
    </row>
    <row r="38" spans="1:3" x14ac:dyDescent="0.25">
      <c r="A38" t="s">
        <v>438</v>
      </c>
      <c r="B38">
        <v>0</v>
      </c>
      <c r="C38">
        <v>0</v>
      </c>
    </row>
    <row r="39" spans="1:3" x14ac:dyDescent="0.25">
      <c r="A39" t="s">
        <v>326</v>
      </c>
      <c r="B39">
        <v>-1000</v>
      </c>
      <c r="C39">
        <v>1000</v>
      </c>
    </row>
    <row r="40" spans="1:3" x14ac:dyDescent="0.25">
      <c r="A40" t="s">
        <v>369</v>
      </c>
      <c r="B40">
        <v>-1000</v>
      </c>
      <c r="C40">
        <v>1000</v>
      </c>
    </row>
    <row r="41" spans="1:3" x14ac:dyDescent="0.25">
      <c r="A41" t="s">
        <v>67</v>
      </c>
      <c r="B41">
        <v>-1000</v>
      </c>
      <c r="C41">
        <v>1000</v>
      </c>
    </row>
    <row r="42" spans="1:3" x14ac:dyDescent="0.25">
      <c r="A42" t="s">
        <v>327</v>
      </c>
      <c r="B42">
        <v>-1000</v>
      </c>
      <c r="C42">
        <v>1000</v>
      </c>
    </row>
    <row r="43" spans="1:3" x14ac:dyDescent="0.25">
      <c r="A43" t="s">
        <v>68</v>
      </c>
      <c r="B43">
        <v>-1000</v>
      </c>
      <c r="C43">
        <v>1000</v>
      </c>
    </row>
    <row r="44" spans="1:3" x14ac:dyDescent="0.25">
      <c r="A44" t="s">
        <v>69</v>
      </c>
      <c r="B44">
        <v>-1000</v>
      </c>
      <c r="C44">
        <v>1000</v>
      </c>
    </row>
    <row r="45" spans="1:3" x14ac:dyDescent="0.25">
      <c r="A45" t="s">
        <v>70</v>
      </c>
      <c r="B45">
        <v>0</v>
      </c>
      <c r="C45">
        <v>0</v>
      </c>
    </row>
    <row r="46" spans="1:3" x14ac:dyDescent="0.25">
      <c r="A46" t="s">
        <v>71</v>
      </c>
      <c r="B46">
        <v>-1000</v>
      </c>
      <c r="C46">
        <v>1000</v>
      </c>
    </row>
    <row r="47" spans="1:3" x14ac:dyDescent="0.25">
      <c r="A47" t="s">
        <v>72</v>
      </c>
      <c r="B47">
        <v>-1000</v>
      </c>
      <c r="C47">
        <v>1000</v>
      </c>
    </row>
    <row r="48" spans="1:3" x14ac:dyDescent="0.25">
      <c r="A48" t="s">
        <v>73</v>
      </c>
      <c r="B48">
        <v>-1000</v>
      </c>
      <c r="C48">
        <v>1000</v>
      </c>
    </row>
    <row r="49" spans="1:3" x14ac:dyDescent="0.25">
      <c r="A49" t="s">
        <v>74</v>
      </c>
      <c r="B49">
        <v>-1000</v>
      </c>
      <c r="C49">
        <v>1000</v>
      </c>
    </row>
    <row r="50" spans="1:3" x14ac:dyDescent="0.25">
      <c r="A50" t="s">
        <v>75</v>
      </c>
      <c r="B50">
        <v>-1000</v>
      </c>
      <c r="C50">
        <v>1000</v>
      </c>
    </row>
    <row r="51" spans="1:3" x14ac:dyDescent="0.25">
      <c r="A51" t="s">
        <v>76</v>
      </c>
      <c r="B51">
        <v>-1000</v>
      </c>
      <c r="C51">
        <v>1000</v>
      </c>
    </row>
    <row r="52" spans="1:3" x14ac:dyDescent="0.25">
      <c r="A52" t="s">
        <v>77</v>
      </c>
      <c r="B52">
        <v>-1000</v>
      </c>
      <c r="C52">
        <v>1000</v>
      </c>
    </row>
    <row r="53" spans="1:3" x14ac:dyDescent="0.25">
      <c r="A53" t="s">
        <v>78</v>
      </c>
      <c r="B53">
        <v>-1000</v>
      </c>
      <c r="C53">
        <v>1000</v>
      </c>
    </row>
    <row r="54" spans="1:3" x14ac:dyDescent="0.25">
      <c r="A54" t="s">
        <v>79</v>
      </c>
      <c r="B54">
        <v>-1000</v>
      </c>
      <c r="C54">
        <v>1000</v>
      </c>
    </row>
    <row r="55" spans="1:3" x14ac:dyDescent="0.25">
      <c r="A55" t="s">
        <v>80</v>
      </c>
      <c r="B55">
        <v>-1000</v>
      </c>
      <c r="C55">
        <v>1000</v>
      </c>
    </row>
    <row r="56" spans="1:3" x14ac:dyDescent="0.25">
      <c r="A56" t="s">
        <v>81</v>
      </c>
      <c r="B56">
        <v>-1000</v>
      </c>
      <c r="C56">
        <v>1000</v>
      </c>
    </row>
    <row r="57" spans="1:3" x14ac:dyDescent="0.25">
      <c r="A57" t="s">
        <v>82</v>
      </c>
      <c r="B57">
        <v>-1000</v>
      </c>
      <c r="C57">
        <v>1000</v>
      </c>
    </row>
    <row r="58" spans="1:3" x14ac:dyDescent="0.25">
      <c r="A58" t="s">
        <v>83</v>
      </c>
      <c r="B58">
        <v>-1000</v>
      </c>
      <c r="C58">
        <v>1000</v>
      </c>
    </row>
    <row r="59" spans="1:3" x14ac:dyDescent="0.25">
      <c r="A59" t="s">
        <v>84</v>
      </c>
      <c r="B59">
        <v>-1000</v>
      </c>
      <c r="C59">
        <v>1000</v>
      </c>
    </row>
    <row r="60" spans="1:3" x14ac:dyDescent="0.25">
      <c r="A60" t="s">
        <v>365</v>
      </c>
      <c r="B60">
        <v>0</v>
      </c>
      <c r="C60">
        <v>0</v>
      </c>
    </row>
    <row r="61" spans="1:3" x14ac:dyDescent="0.25">
      <c r="A61" t="s">
        <v>328</v>
      </c>
      <c r="B61">
        <v>-1000</v>
      </c>
      <c r="C61">
        <v>1000</v>
      </c>
    </row>
    <row r="62" spans="1:3" x14ac:dyDescent="0.25">
      <c r="A62" t="s">
        <v>85</v>
      </c>
      <c r="B62">
        <v>-1000</v>
      </c>
      <c r="C62">
        <v>1000</v>
      </c>
    </row>
    <row r="63" spans="1:3" x14ac:dyDescent="0.25">
      <c r="A63" t="s">
        <v>86</v>
      </c>
      <c r="B63">
        <v>-1000</v>
      </c>
      <c r="C63">
        <v>1000</v>
      </c>
    </row>
    <row r="64" spans="1:3" x14ac:dyDescent="0.25">
      <c r="A64" t="s">
        <v>87</v>
      </c>
      <c r="B64">
        <v>-1000</v>
      </c>
      <c r="C64">
        <v>1000</v>
      </c>
    </row>
    <row r="65" spans="1:3" x14ac:dyDescent="0.25">
      <c r="A65" t="s">
        <v>88</v>
      </c>
      <c r="B65">
        <v>-1000</v>
      </c>
      <c r="C65">
        <v>1000</v>
      </c>
    </row>
    <row r="66" spans="1:3" x14ac:dyDescent="0.25">
      <c r="A66" t="s">
        <v>89</v>
      </c>
      <c r="B66">
        <v>-1000</v>
      </c>
      <c r="C66">
        <v>1000</v>
      </c>
    </row>
    <row r="67" spans="1:3" x14ac:dyDescent="0.25">
      <c r="A67" t="s">
        <v>90</v>
      </c>
      <c r="B67">
        <v>0</v>
      </c>
      <c r="C67">
        <v>1000</v>
      </c>
    </row>
    <row r="68" spans="1:3" x14ac:dyDescent="0.25">
      <c r="A68" t="s">
        <v>329</v>
      </c>
      <c r="B68">
        <v>-1000</v>
      </c>
      <c r="C68">
        <v>1000</v>
      </c>
    </row>
    <row r="69" spans="1:3" x14ac:dyDescent="0.25">
      <c r="A69" t="s">
        <v>91</v>
      </c>
      <c r="B69">
        <v>-1000</v>
      </c>
      <c r="C69">
        <v>1000</v>
      </c>
    </row>
    <row r="70" spans="1:3" x14ac:dyDescent="0.25">
      <c r="A70" t="s">
        <v>92</v>
      </c>
      <c r="B70">
        <v>-1000</v>
      </c>
      <c r="C70">
        <v>1000</v>
      </c>
    </row>
    <row r="71" spans="1:3" x14ac:dyDescent="0.25">
      <c r="A71" t="s">
        <v>93</v>
      </c>
      <c r="B71">
        <v>-1000</v>
      </c>
      <c r="C71">
        <v>1000</v>
      </c>
    </row>
    <row r="72" spans="1:3" x14ac:dyDescent="0.25">
      <c r="A72" t="s">
        <v>94</v>
      </c>
      <c r="B72">
        <v>-1000</v>
      </c>
      <c r="C72">
        <v>1000</v>
      </c>
    </row>
    <row r="73" spans="1:3" x14ac:dyDescent="0.25">
      <c r="A73" t="s">
        <v>330</v>
      </c>
      <c r="B73">
        <v>0</v>
      </c>
      <c r="C73">
        <v>1000</v>
      </c>
    </row>
    <row r="74" spans="1:3" x14ac:dyDescent="0.25">
      <c r="A74" t="s">
        <v>95</v>
      </c>
      <c r="B74">
        <v>-1000</v>
      </c>
      <c r="C74">
        <v>1000</v>
      </c>
    </row>
    <row r="75" spans="1:3" x14ac:dyDescent="0.25">
      <c r="A75" t="s">
        <v>331</v>
      </c>
      <c r="B75">
        <v>-1000</v>
      </c>
      <c r="C75">
        <v>1000</v>
      </c>
    </row>
    <row r="76" spans="1:3" x14ac:dyDescent="0.25">
      <c r="A76" t="s">
        <v>96</v>
      </c>
      <c r="B76">
        <v>-1000</v>
      </c>
      <c r="C76">
        <v>1000</v>
      </c>
    </row>
    <row r="77" spans="1:3" x14ac:dyDescent="0.25">
      <c r="A77" t="s">
        <v>97</v>
      </c>
      <c r="B77">
        <v>-1000</v>
      </c>
      <c r="C77">
        <v>1000</v>
      </c>
    </row>
    <row r="78" spans="1:3" x14ac:dyDescent="0.25">
      <c r="A78" t="s">
        <v>98</v>
      </c>
      <c r="B78">
        <v>-1000</v>
      </c>
      <c r="C78">
        <v>1000</v>
      </c>
    </row>
    <row r="79" spans="1:3" x14ac:dyDescent="0.25">
      <c r="A79" t="s">
        <v>99</v>
      </c>
      <c r="B79">
        <v>-1000</v>
      </c>
      <c r="C79">
        <v>1000</v>
      </c>
    </row>
    <row r="80" spans="1:3" x14ac:dyDescent="0.25">
      <c r="A80" t="s">
        <v>100</v>
      </c>
      <c r="B80">
        <v>-1000</v>
      </c>
      <c r="C80">
        <v>1000</v>
      </c>
    </row>
    <row r="81" spans="1:3" x14ac:dyDescent="0.25">
      <c r="A81" t="s">
        <v>101</v>
      </c>
      <c r="B81">
        <v>-1000</v>
      </c>
      <c r="C81">
        <v>1000</v>
      </c>
    </row>
    <row r="82" spans="1:3" x14ac:dyDescent="0.25">
      <c r="A82" t="s">
        <v>102</v>
      </c>
      <c r="B82">
        <v>-1000</v>
      </c>
      <c r="C82">
        <v>1000</v>
      </c>
    </row>
    <row r="83" spans="1:3" x14ac:dyDescent="0.25">
      <c r="A83" t="s">
        <v>103</v>
      </c>
      <c r="B83">
        <v>-1000</v>
      </c>
      <c r="C83">
        <v>1000</v>
      </c>
    </row>
    <row r="84" spans="1:3" x14ac:dyDescent="0.25">
      <c r="A84" t="s">
        <v>104</v>
      </c>
      <c r="B84">
        <v>-1000</v>
      </c>
      <c r="C84">
        <v>1000</v>
      </c>
    </row>
    <row r="85" spans="1:3" x14ac:dyDescent="0.25">
      <c r="A85" t="s">
        <v>105</v>
      </c>
      <c r="B85">
        <v>-1000</v>
      </c>
      <c r="C85">
        <v>1000</v>
      </c>
    </row>
    <row r="86" spans="1:3" x14ac:dyDescent="0.25">
      <c r="A86" t="s">
        <v>106</v>
      </c>
      <c r="B86">
        <v>-1000</v>
      </c>
      <c r="C86">
        <v>1000</v>
      </c>
    </row>
    <row r="87" spans="1:3" x14ac:dyDescent="0.25">
      <c r="A87" t="s">
        <v>107</v>
      </c>
      <c r="B87">
        <v>-1000</v>
      </c>
      <c r="C87">
        <v>1000</v>
      </c>
    </row>
    <row r="88" spans="1:3" x14ac:dyDescent="0.25">
      <c r="A88" t="s">
        <v>108</v>
      </c>
      <c r="B88">
        <v>-1000</v>
      </c>
      <c r="C88">
        <v>1000</v>
      </c>
    </row>
    <row r="89" spans="1:3" x14ac:dyDescent="0.25">
      <c r="A89" t="s">
        <v>109</v>
      </c>
      <c r="B89">
        <v>-1000</v>
      </c>
      <c r="C89">
        <v>1000</v>
      </c>
    </row>
    <row r="90" spans="1:3" x14ac:dyDescent="0.25">
      <c r="A90" t="s">
        <v>110</v>
      </c>
      <c r="B90">
        <v>-1000</v>
      </c>
      <c r="C90">
        <v>1000</v>
      </c>
    </row>
    <row r="91" spans="1:3" x14ac:dyDescent="0.25">
      <c r="A91" t="s">
        <v>111</v>
      </c>
      <c r="B91">
        <v>-1000</v>
      </c>
      <c r="C91">
        <v>1000</v>
      </c>
    </row>
    <row r="92" spans="1:3" x14ac:dyDescent="0.25">
      <c r="A92" t="s">
        <v>112</v>
      </c>
      <c r="B92">
        <v>-1000</v>
      </c>
      <c r="C92">
        <v>1000</v>
      </c>
    </row>
    <row r="93" spans="1:3" x14ac:dyDescent="0.25">
      <c r="A93" t="s">
        <v>113</v>
      </c>
      <c r="B93">
        <v>-1000</v>
      </c>
      <c r="C93">
        <v>1000</v>
      </c>
    </row>
    <row r="94" spans="1:3" x14ac:dyDescent="0.25">
      <c r="A94" t="s">
        <v>114</v>
      </c>
      <c r="B94">
        <v>-1000</v>
      </c>
      <c r="C94">
        <v>1000</v>
      </c>
    </row>
    <row r="95" spans="1:3" x14ac:dyDescent="0.25">
      <c r="A95" t="s">
        <v>115</v>
      </c>
      <c r="B95">
        <v>-1000</v>
      </c>
      <c r="C95">
        <v>1000</v>
      </c>
    </row>
    <row r="96" spans="1:3" x14ac:dyDescent="0.25">
      <c r="A96" t="s">
        <v>116</v>
      </c>
      <c r="B96">
        <v>-1000</v>
      </c>
      <c r="C96">
        <v>1000</v>
      </c>
    </row>
    <row r="97" spans="1:3" x14ac:dyDescent="0.25">
      <c r="A97" t="s">
        <v>117</v>
      </c>
      <c r="B97">
        <v>-1000</v>
      </c>
      <c r="C97">
        <v>1000</v>
      </c>
    </row>
    <row r="98" spans="1:3" x14ac:dyDescent="0.25">
      <c r="A98" t="s">
        <v>118</v>
      </c>
      <c r="B98">
        <v>-1000</v>
      </c>
      <c r="C98">
        <v>1000</v>
      </c>
    </row>
    <row r="99" spans="1:3" x14ac:dyDescent="0.25">
      <c r="A99" t="s">
        <v>119</v>
      </c>
      <c r="B99">
        <v>-1000</v>
      </c>
      <c r="C99">
        <v>1000</v>
      </c>
    </row>
    <row r="100" spans="1:3" x14ac:dyDescent="0.25">
      <c r="A100" t="s">
        <v>120</v>
      </c>
      <c r="B100">
        <v>-1000</v>
      </c>
      <c r="C100">
        <v>1000</v>
      </c>
    </row>
    <row r="101" spans="1:3" x14ac:dyDescent="0.25">
      <c r="A101" t="s">
        <v>121</v>
      </c>
      <c r="B101">
        <v>-1000</v>
      </c>
      <c r="C101">
        <v>1000</v>
      </c>
    </row>
    <row r="102" spans="1:3" x14ac:dyDescent="0.25">
      <c r="A102" t="s">
        <v>122</v>
      </c>
      <c r="B102">
        <v>-1000</v>
      </c>
      <c r="C102">
        <v>1000</v>
      </c>
    </row>
    <row r="103" spans="1:3" x14ac:dyDescent="0.25">
      <c r="A103" t="s">
        <v>123</v>
      </c>
      <c r="B103">
        <v>-1000</v>
      </c>
      <c r="C103">
        <v>1000</v>
      </c>
    </row>
    <row r="104" spans="1:3" x14ac:dyDescent="0.25">
      <c r="A104" t="s">
        <v>124</v>
      </c>
      <c r="B104">
        <v>-1000</v>
      </c>
      <c r="C104">
        <v>1000</v>
      </c>
    </row>
    <row r="105" spans="1:3" x14ac:dyDescent="0.25">
      <c r="A105" t="s">
        <v>332</v>
      </c>
      <c r="B105">
        <v>-1000</v>
      </c>
      <c r="C105">
        <v>1000</v>
      </c>
    </row>
    <row r="106" spans="1:3" x14ac:dyDescent="0.25">
      <c r="A106" t="s">
        <v>333</v>
      </c>
      <c r="B106">
        <v>-1000</v>
      </c>
      <c r="C106">
        <v>1000</v>
      </c>
    </row>
    <row r="107" spans="1:3" x14ac:dyDescent="0.25">
      <c r="A107" t="s">
        <v>125</v>
      </c>
      <c r="B107">
        <v>-1000</v>
      </c>
      <c r="C107">
        <v>1000</v>
      </c>
    </row>
    <row r="108" spans="1:3" x14ac:dyDescent="0.25">
      <c r="A108" t="s">
        <v>126</v>
      </c>
      <c r="B108">
        <v>-1000</v>
      </c>
      <c r="C108">
        <v>1000</v>
      </c>
    </row>
    <row r="109" spans="1:3" x14ac:dyDescent="0.25">
      <c r="A109" t="s">
        <v>127</v>
      </c>
      <c r="B109">
        <v>-1000</v>
      </c>
      <c r="C109">
        <v>1000</v>
      </c>
    </row>
    <row r="110" spans="1:3" x14ac:dyDescent="0.25">
      <c r="A110" t="s">
        <v>128</v>
      </c>
      <c r="B110">
        <v>-1000</v>
      </c>
      <c r="C110">
        <v>1000</v>
      </c>
    </row>
    <row r="111" spans="1:3" x14ac:dyDescent="0.25">
      <c r="A111" t="s">
        <v>129</v>
      </c>
      <c r="B111">
        <v>-1000</v>
      </c>
      <c r="C111">
        <v>1000</v>
      </c>
    </row>
    <row r="112" spans="1:3" x14ac:dyDescent="0.25">
      <c r="A112" t="s">
        <v>130</v>
      </c>
      <c r="B112">
        <v>-1000</v>
      </c>
      <c r="C112">
        <v>1000</v>
      </c>
    </row>
    <row r="113" spans="1:3" x14ac:dyDescent="0.25">
      <c r="A113" t="s">
        <v>364</v>
      </c>
      <c r="B113">
        <v>-1000</v>
      </c>
      <c r="C113">
        <v>1000</v>
      </c>
    </row>
    <row r="114" spans="1:3" x14ac:dyDescent="0.25">
      <c r="A114" t="s">
        <v>131</v>
      </c>
      <c r="B114">
        <v>-1000</v>
      </c>
      <c r="C114">
        <v>1000</v>
      </c>
    </row>
    <row r="115" spans="1:3" x14ac:dyDescent="0.25">
      <c r="A115" t="s">
        <v>132</v>
      </c>
      <c r="B115">
        <v>-1000</v>
      </c>
      <c r="C115">
        <v>1000</v>
      </c>
    </row>
    <row r="116" spans="1:3" x14ac:dyDescent="0.25">
      <c r="A116" t="s">
        <v>334</v>
      </c>
      <c r="B116">
        <v>-1000</v>
      </c>
      <c r="C116">
        <v>1000</v>
      </c>
    </row>
    <row r="117" spans="1:3" x14ac:dyDescent="0.25">
      <c r="A117" t="s">
        <v>133</v>
      </c>
      <c r="B117">
        <v>-1000</v>
      </c>
      <c r="C117">
        <v>1000</v>
      </c>
    </row>
    <row r="118" spans="1:3" x14ac:dyDescent="0.25">
      <c r="A118" t="s">
        <v>135</v>
      </c>
      <c r="B118">
        <v>-1000</v>
      </c>
      <c r="C118">
        <v>1000</v>
      </c>
    </row>
    <row r="119" spans="1:3" x14ac:dyDescent="0.25">
      <c r="A119" t="s">
        <v>136</v>
      </c>
      <c r="B119">
        <v>-1000</v>
      </c>
      <c r="C119">
        <v>1000</v>
      </c>
    </row>
    <row r="120" spans="1:3" x14ac:dyDescent="0.25">
      <c r="A120" t="s">
        <v>137</v>
      </c>
      <c r="B120">
        <v>-1000</v>
      </c>
      <c r="C120">
        <v>1000</v>
      </c>
    </row>
    <row r="121" spans="1:3" x14ac:dyDescent="0.25">
      <c r="A121" t="s">
        <v>138</v>
      </c>
      <c r="B121">
        <v>-1000</v>
      </c>
      <c r="C121">
        <v>1000</v>
      </c>
    </row>
    <row r="122" spans="1:3" x14ac:dyDescent="0.25">
      <c r="A122" t="s">
        <v>139</v>
      </c>
      <c r="B122">
        <v>-1000</v>
      </c>
      <c r="C122">
        <v>1000</v>
      </c>
    </row>
    <row r="123" spans="1:3" x14ac:dyDescent="0.25">
      <c r="A123" t="s">
        <v>140</v>
      </c>
      <c r="B123">
        <v>-1000</v>
      </c>
      <c r="C123">
        <v>1000</v>
      </c>
    </row>
    <row r="124" spans="1:3" x14ac:dyDescent="0.25">
      <c r="A124" t="s">
        <v>141</v>
      </c>
      <c r="B124">
        <v>-1000</v>
      </c>
      <c r="C124">
        <v>1000</v>
      </c>
    </row>
    <row r="125" spans="1:3" x14ac:dyDescent="0.25">
      <c r="A125" t="s">
        <v>142</v>
      </c>
      <c r="B125">
        <v>-1000</v>
      </c>
      <c r="C125">
        <v>1000</v>
      </c>
    </row>
    <row r="126" spans="1:3" x14ac:dyDescent="0.25">
      <c r="A126" t="s">
        <v>367</v>
      </c>
      <c r="B126">
        <v>0</v>
      </c>
      <c r="C126">
        <v>0</v>
      </c>
    </row>
    <row r="127" spans="1:3" x14ac:dyDescent="0.25">
      <c r="A127" t="s">
        <v>368</v>
      </c>
      <c r="B127">
        <v>0</v>
      </c>
      <c r="C127">
        <v>0</v>
      </c>
    </row>
    <row r="128" spans="1:3" x14ac:dyDescent="0.25">
      <c r="A128" t="s">
        <v>143</v>
      </c>
      <c r="B128">
        <v>-1000</v>
      </c>
      <c r="C128">
        <v>1000</v>
      </c>
    </row>
    <row r="129" spans="1:3" x14ac:dyDescent="0.25">
      <c r="A129" t="s">
        <v>366</v>
      </c>
      <c r="B129">
        <v>0</v>
      </c>
      <c r="C129">
        <v>0</v>
      </c>
    </row>
    <row r="130" spans="1:3" x14ac:dyDescent="0.25">
      <c r="A130" t="s">
        <v>145</v>
      </c>
      <c r="B130">
        <v>-1000</v>
      </c>
      <c r="C130">
        <v>1000</v>
      </c>
    </row>
    <row r="131" spans="1:3" x14ac:dyDescent="0.25">
      <c r="A131" t="s">
        <v>146</v>
      </c>
      <c r="B131">
        <v>0</v>
      </c>
      <c r="C131">
        <v>1000</v>
      </c>
    </row>
    <row r="132" spans="1:3" x14ac:dyDescent="0.25">
      <c r="A132" t="s">
        <v>147</v>
      </c>
      <c r="B132">
        <v>0</v>
      </c>
      <c r="C132">
        <v>1000</v>
      </c>
    </row>
    <row r="133" spans="1:3" x14ac:dyDescent="0.25">
      <c r="A133" t="s">
        <v>148</v>
      </c>
      <c r="B133">
        <v>-1000</v>
      </c>
      <c r="C133">
        <v>1000</v>
      </c>
    </row>
    <row r="134" spans="1:3" x14ac:dyDescent="0.25">
      <c r="A134" t="s">
        <v>149</v>
      </c>
      <c r="B134">
        <v>-1000</v>
      </c>
      <c r="C134">
        <v>1000</v>
      </c>
    </row>
    <row r="135" spans="1:3" x14ac:dyDescent="0.25">
      <c r="A135" t="s">
        <v>361</v>
      </c>
      <c r="B135">
        <v>0</v>
      </c>
      <c r="C135">
        <v>1000</v>
      </c>
    </row>
    <row r="136" spans="1:3" x14ac:dyDescent="0.25">
      <c r="A136" t="s">
        <v>362</v>
      </c>
      <c r="B136">
        <v>0</v>
      </c>
      <c r="C136">
        <v>1000</v>
      </c>
    </row>
    <row r="137" spans="1:3" x14ac:dyDescent="0.25">
      <c r="A137" t="s">
        <v>151</v>
      </c>
      <c r="B137">
        <v>-1000</v>
      </c>
      <c r="C137">
        <v>1000</v>
      </c>
    </row>
    <row r="138" spans="1:3" x14ac:dyDescent="0.25">
      <c r="A138" t="s">
        <v>152</v>
      </c>
      <c r="B138">
        <v>-1000</v>
      </c>
      <c r="C138">
        <v>1000</v>
      </c>
    </row>
    <row r="139" spans="1:3" x14ac:dyDescent="0.25">
      <c r="A139" t="s">
        <v>153</v>
      </c>
      <c r="B139">
        <v>-1000</v>
      </c>
      <c r="C139">
        <v>1000</v>
      </c>
    </row>
    <row r="140" spans="1:3" x14ac:dyDescent="0.25">
      <c r="A140" t="s">
        <v>154</v>
      </c>
      <c r="B140">
        <v>-1000</v>
      </c>
      <c r="C140">
        <v>1000</v>
      </c>
    </row>
    <row r="141" spans="1:3" x14ac:dyDescent="0.25">
      <c r="A141" t="s">
        <v>144</v>
      </c>
      <c r="B141">
        <v>0</v>
      </c>
      <c r="C141">
        <v>1000</v>
      </c>
    </row>
    <row r="142" spans="1:3" x14ac:dyDescent="0.25">
      <c r="A142" t="s">
        <v>155</v>
      </c>
      <c r="B142">
        <v>-1000</v>
      </c>
      <c r="C142">
        <v>1000</v>
      </c>
    </row>
    <row r="143" spans="1:3" x14ac:dyDescent="0.25">
      <c r="A143" t="s">
        <v>156</v>
      </c>
      <c r="B143">
        <v>-1000</v>
      </c>
      <c r="C143">
        <v>1000</v>
      </c>
    </row>
    <row r="144" spans="1:3" x14ac:dyDescent="0.25">
      <c r="A144" t="s">
        <v>157</v>
      </c>
      <c r="B144">
        <v>-1000</v>
      </c>
      <c r="C144">
        <v>1000</v>
      </c>
    </row>
    <row r="145" spans="1:3" x14ac:dyDescent="0.25">
      <c r="A145" t="s">
        <v>158</v>
      </c>
      <c r="B145">
        <v>-1000</v>
      </c>
      <c r="C145">
        <v>1000</v>
      </c>
    </row>
    <row r="146" spans="1:3" x14ac:dyDescent="0.25">
      <c r="A146" t="s">
        <v>159</v>
      </c>
      <c r="B146">
        <v>-1000</v>
      </c>
      <c r="C146">
        <v>1000</v>
      </c>
    </row>
    <row r="147" spans="1:3" x14ac:dyDescent="0.25">
      <c r="A147" t="s">
        <v>385</v>
      </c>
      <c r="B147">
        <v>-1000</v>
      </c>
      <c r="C147">
        <v>1000</v>
      </c>
    </row>
    <row r="148" spans="1:3" x14ac:dyDescent="0.25">
      <c r="A148" t="s">
        <v>160</v>
      </c>
      <c r="B148">
        <v>-1000</v>
      </c>
      <c r="C148">
        <v>1000</v>
      </c>
    </row>
    <row r="149" spans="1:3" x14ac:dyDescent="0.25">
      <c r="A149" t="s">
        <v>161</v>
      </c>
      <c r="B149">
        <v>-1000</v>
      </c>
      <c r="C149">
        <v>1000</v>
      </c>
    </row>
    <row r="150" spans="1:3" x14ac:dyDescent="0.25">
      <c r="A150" t="s">
        <v>162</v>
      </c>
      <c r="B150">
        <v>-1000</v>
      </c>
      <c r="C150">
        <v>1000</v>
      </c>
    </row>
    <row r="151" spans="1:3" x14ac:dyDescent="0.25">
      <c r="A151" t="s">
        <v>163</v>
      </c>
      <c r="B151">
        <v>-1000</v>
      </c>
      <c r="C151">
        <v>1000</v>
      </c>
    </row>
    <row r="152" spans="1:3" x14ac:dyDescent="0.25">
      <c r="A152" t="s">
        <v>164</v>
      </c>
      <c r="B152">
        <v>-1000</v>
      </c>
      <c r="C152">
        <v>1000</v>
      </c>
    </row>
    <row r="153" spans="1:3" x14ac:dyDescent="0.25">
      <c r="A153" t="s">
        <v>165</v>
      </c>
      <c r="B153">
        <v>-1000</v>
      </c>
      <c r="C153">
        <v>1000</v>
      </c>
    </row>
    <row r="154" spans="1:3" x14ac:dyDescent="0.25">
      <c r="A154" t="s">
        <v>166</v>
      </c>
      <c r="B154">
        <v>-1000</v>
      </c>
      <c r="C154">
        <v>1000</v>
      </c>
    </row>
    <row r="155" spans="1:3" x14ac:dyDescent="0.25">
      <c r="A155" t="s">
        <v>167</v>
      </c>
      <c r="B155">
        <v>-1000</v>
      </c>
      <c r="C155">
        <v>1000</v>
      </c>
    </row>
    <row r="156" spans="1:3" x14ac:dyDescent="0.25">
      <c r="A156" t="s">
        <v>335</v>
      </c>
      <c r="B156">
        <v>-1000</v>
      </c>
      <c r="C156">
        <v>1000</v>
      </c>
    </row>
    <row r="157" spans="1:3" x14ac:dyDescent="0.25">
      <c r="A157" t="s">
        <v>168</v>
      </c>
      <c r="B157">
        <v>-1000</v>
      </c>
      <c r="C157">
        <v>1000</v>
      </c>
    </row>
    <row r="158" spans="1:3" x14ac:dyDescent="0.25">
      <c r="A158" t="s">
        <v>169</v>
      </c>
      <c r="B158">
        <v>-1000</v>
      </c>
      <c r="C158">
        <v>1000</v>
      </c>
    </row>
    <row r="159" spans="1:3" x14ac:dyDescent="0.25">
      <c r="A159" t="s">
        <v>170</v>
      </c>
      <c r="B159">
        <v>-1000</v>
      </c>
      <c r="C159">
        <v>1000</v>
      </c>
    </row>
    <row r="160" spans="1:3" x14ac:dyDescent="0.25">
      <c r="A160" t="s">
        <v>171</v>
      </c>
      <c r="B160">
        <v>-1000</v>
      </c>
      <c r="C160">
        <v>1000</v>
      </c>
    </row>
    <row r="161" spans="1:3" x14ac:dyDescent="0.25">
      <c r="A161" t="s">
        <v>173</v>
      </c>
      <c r="B161">
        <v>-1000</v>
      </c>
      <c r="C161">
        <v>1000</v>
      </c>
    </row>
    <row r="162" spans="1:3" x14ac:dyDescent="0.25">
      <c r="A162" t="s">
        <v>174</v>
      </c>
      <c r="B162">
        <v>-1000</v>
      </c>
      <c r="C162">
        <v>1000</v>
      </c>
    </row>
    <row r="163" spans="1:3" x14ac:dyDescent="0.25">
      <c r="A163" t="s">
        <v>175</v>
      </c>
      <c r="B163">
        <v>-1000</v>
      </c>
      <c r="C163">
        <v>1000</v>
      </c>
    </row>
    <row r="164" spans="1:3" x14ac:dyDescent="0.25">
      <c r="A164" t="s">
        <v>435</v>
      </c>
      <c r="B164">
        <v>-1000</v>
      </c>
      <c r="C164">
        <v>1000</v>
      </c>
    </row>
    <row r="165" spans="1:3" x14ac:dyDescent="0.25">
      <c r="A165" t="s">
        <v>176</v>
      </c>
      <c r="B165">
        <v>-1000</v>
      </c>
      <c r="C165">
        <v>1000</v>
      </c>
    </row>
    <row r="166" spans="1:3" x14ac:dyDescent="0.25">
      <c r="A166" t="s">
        <v>177</v>
      </c>
      <c r="B166">
        <v>-1000</v>
      </c>
      <c r="C166">
        <v>1000</v>
      </c>
    </row>
    <row r="167" spans="1:3" x14ac:dyDescent="0.25">
      <c r="A167" t="s">
        <v>363</v>
      </c>
      <c r="B167">
        <v>0</v>
      </c>
      <c r="C167">
        <v>0</v>
      </c>
    </row>
    <row r="168" spans="1:3" x14ac:dyDescent="0.25">
      <c r="A168" t="s">
        <v>336</v>
      </c>
      <c r="B168">
        <v>-1000</v>
      </c>
      <c r="C168">
        <v>1000</v>
      </c>
    </row>
    <row r="169" spans="1:3" x14ac:dyDescent="0.25">
      <c r="A169" t="s">
        <v>360</v>
      </c>
      <c r="B169">
        <v>100</v>
      </c>
      <c r="C169">
        <v>100</v>
      </c>
    </row>
    <row r="170" spans="1:3" x14ac:dyDescent="0.25">
      <c r="A170" t="s">
        <v>178</v>
      </c>
      <c r="B170">
        <f>val!C7</f>
        <v>194.96583861362987</v>
      </c>
      <c r="C170">
        <f>val!C7</f>
        <v>194.96583861362987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9806F-26C8-496F-A773-BAF124FF8C61}">
  <dimension ref="A1:C170"/>
  <sheetViews>
    <sheetView topLeftCell="A31" workbookViewId="0">
      <selection activeCell="A37" sqref="A37"/>
    </sheetView>
  </sheetViews>
  <sheetFormatPr defaultRowHeight="15" x14ac:dyDescent="0.25"/>
  <cols>
    <col min="1" max="1" width="18.5703125" bestFit="1" customWidth="1"/>
  </cols>
  <sheetData>
    <row r="1" spans="1:3" x14ac:dyDescent="0.25">
      <c r="A1" t="s">
        <v>5</v>
      </c>
      <c r="B1" t="s">
        <v>352</v>
      </c>
      <c r="C1" t="s">
        <v>353</v>
      </c>
    </row>
    <row r="2" spans="1:3" x14ac:dyDescent="0.25">
      <c r="A2" t="s">
        <v>39</v>
      </c>
      <c r="B2">
        <v>-1000</v>
      </c>
      <c r="C2">
        <v>1000</v>
      </c>
    </row>
    <row r="3" spans="1:3" x14ac:dyDescent="0.25">
      <c r="A3" t="s">
        <v>359</v>
      </c>
      <c r="B3">
        <v>0</v>
      </c>
      <c r="C3">
        <v>0</v>
      </c>
    </row>
    <row r="4" spans="1:3" x14ac:dyDescent="0.25">
      <c r="A4" t="s">
        <v>386</v>
      </c>
      <c r="B4">
        <v>-1000</v>
      </c>
      <c r="C4">
        <v>1000</v>
      </c>
    </row>
    <row r="5" spans="1:3" x14ac:dyDescent="0.25">
      <c r="A5" t="s">
        <v>358</v>
      </c>
      <c r="B5">
        <v>0</v>
      </c>
      <c r="C5">
        <v>0</v>
      </c>
    </row>
    <row r="6" spans="1:3" x14ac:dyDescent="0.25">
      <c r="A6" t="s">
        <v>40</v>
      </c>
      <c r="B6">
        <v>-1000</v>
      </c>
      <c r="C6">
        <v>1000</v>
      </c>
    </row>
    <row r="7" spans="1:3" x14ac:dyDescent="0.25">
      <c r="A7" t="s">
        <v>41</v>
      </c>
      <c r="B7">
        <v>-1000</v>
      </c>
      <c r="C7">
        <v>1000</v>
      </c>
    </row>
    <row r="8" spans="1:3" x14ac:dyDescent="0.25">
      <c r="A8" t="s">
        <v>42</v>
      </c>
      <c r="B8">
        <v>-1000</v>
      </c>
      <c r="C8">
        <v>1000</v>
      </c>
    </row>
    <row r="9" spans="1:3" x14ac:dyDescent="0.25">
      <c r="A9" t="s">
        <v>43</v>
      </c>
      <c r="B9">
        <v>-1000</v>
      </c>
      <c r="C9">
        <v>1000</v>
      </c>
    </row>
    <row r="10" spans="1:3" x14ac:dyDescent="0.25">
      <c r="A10" t="s">
        <v>44</v>
      </c>
      <c r="B10">
        <v>-1000</v>
      </c>
      <c r="C10">
        <v>1000</v>
      </c>
    </row>
    <row r="11" spans="1:3" x14ac:dyDescent="0.25">
      <c r="A11" t="s">
        <v>45</v>
      </c>
      <c r="B11">
        <v>0</v>
      </c>
      <c r="C11">
        <v>1000</v>
      </c>
    </row>
    <row r="12" spans="1:3" x14ac:dyDescent="0.25">
      <c r="A12" t="s">
        <v>324</v>
      </c>
      <c r="B12">
        <v>0</v>
      </c>
      <c r="C12">
        <v>1000</v>
      </c>
    </row>
    <row r="13" spans="1:3" x14ac:dyDescent="0.25">
      <c r="A13" t="s">
        <v>371</v>
      </c>
      <c r="B13">
        <v>-1000</v>
      </c>
      <c r="C13">
        <v>1000</v>
      </c>
    </row>
    <row r="14" spans="1:3" x14ac:dyDescent="0.25">
      <c r="A14" t="s">
        <v>371</v>
      </c>
      <c r="B14">
        <v>-1000</v>
      </c>
      <c r="C14">
        <v>1000</v>
      </c>
    </row>
    <row r="15" spans="1:3" x14ac:dyDescent="0.25">
      <c r="A15" t="s">
        <v>46</v>
      </c>
      <c r="B15">
        <v>-1000</v>
      </c>
      <c r="C15">
        <v>1000</v>
      </c>
    </row>
    <row r="16" spans="1:3" x14ac:dyDescent="0.25">
      <c r="A16" t="s">
        <v>47</v>
      </c>
      <c r="B16">
        <v>-1000</v>
      </c>
      <c r="C16">
        <v>1000</v>
      </c>
    </row>
    <row r="17" spans="1:3" x14ac:dyDescent="0.25">
      <c r="A17" t="s">
        <v>48</v>
      </c>
      <c r="B17">
        <v>-1000</v>
      </c>
      <c r="C17">
        <v>1000</v>
      </c>
    </row>
    <row r="18" spans="1:3" x14ac:dyDescent="0.25">
      <c r="A18" t="s">
        <v>49</v>
      </c>
      <c r="B18">
        <v>-1000</v>
      </c>
      <c r="C18">
        <v>1000</v>
      </c>
    </row>
    <row r="19" spans="1:3" x14ac:dyDescent="0.25">
      <c r="A19" t="s">
        <v>50</v>
      </c>
      <c r="B19">
        <v>-1000</v>
      </c>
      <c r="C19">
        <v>1000</v>
      </c>
    </row>
    <row r="20" spans="1:3" x14ac:dyDescent="0.25">
      <c r="A20" t="s">
        <v>51</v>
      </c>
      <c r="B20">
        <v>-1000</v>
      </c>
      <c r="C20">
        <v>1000</v>
      </c>
    </row>
    <row r="21" spans="1:3" x14ac:dyDescent="0.25">
      <c r="A21" t="s">
        <v>52</v>
      </c>
      <c r="B21">
        <v>-1000</v>
      </c>
      <c r="C21">
        <v>1000</v>
      </c>
    </row>
    <row r="22" spans="1:3" x14ac:dyDescent="0.25">
      <c r="A22" t="s">
        <v>53</v>
      </c>
      <c r="B22">
        <v>-1000</v>
      </c>
      <c r="C22">
        <v>1000</v>
      </c>
    </row>
    <row r="23" spans="1:3" x14ac:dyDescent="0.25">
      <c r="A23" t="s">
        <v>54</v>
      </c>
      <c r="B23">
        <v>-1000</v>
      </c>
      <c r="C23">
        <v>1000</v>
      </c>
    </row>
    <row r="24" spans="1:3" x14ac:dyDescent="0.25">
      <c r="A24" t="s">
        <v>55</v>
      </c>
      <c r="B24">
        <v>-1000</v>
      </c>
      <c r="C24">
        <v>1000</v>
      </c>
    </row>
    <row r="25" spans="1:3" x14ac:dyDescent="0.25">
      <c r="A25" t="s">
        <v>56</v>
      </c>
      <c r="B25">
        <v>-1000</v>
      </c>
      <c r="C25">
        <v>1000</v>
      </c>
    </row>
    <row r="26" spans="1:3" x14ac:dyDescent="0.25">
      <c r="A26" t="s">
        <v>57</v>
      </c>
      <c r="B26">
        <v>-1000</v>
      </c>
      <c r="C26">
        <v>1000</v>
      </c>
    </row>
    <row r="27" spans="1:3" x14ac:dyDescent="0.25">
      <c r="A27" t="s">
        <v>58</v>
      </c>
      <c r="B27">
        <v>-1000</v>
      </c>
      <c r="C27">
        <v>1000</v>
      </c>
    </row>
    <row r="28" spans="1:3" x14ac:dyDescent="0.25">
      <c r="A28" t="s">
        <v>59</v>
      </c>
      <c r="B28">
        <v>-1000</v>
      </c>
      <c r="C28">
        <v>1000</v>
      </c>
    </row>
    <row r="29" spans="1:3" x14ac:dyDescent="0.25">
      <c r="A29" t="s">
        <v>325</v>
      </c>
      <c r="B29">
        <v>-1000</v>
      </c>
      <c r="C29">
        <v>1000</v>
      </c>
    </row>
    <row r="30" spans="1:3" x14ac:dyDescent="0.25">
      <c r="A30" t="s">
        <v>60</v>
      </c>
      <c r="B30">
        <v>-1000</v>
      </c>
      <c r="C30">
        <v>1000</v>
      </c>
    </row>
    <row r="31" spans="1:3" x14ac:dyDescent="0.25">
      <c r="A31" t="s">
        <v>61</v>
      </c>
      <c r="B31">
        <v>-1000</v>
      </c>
      <c r="C31">
        <v>1000</v>
      </c>
    </row>
    <row r="32" spans="1:3" x14ac:dyDescent="0.25">
      <c r="A32" t="s">
        <v>62</v>
      </c>
      <c r="B32">
        <v>-1000</v>
      </c>
      <c r="C32">
        <v>1000</v>
      </c>
    </row>
    <row r="33" spans="1:3" x14ac:dyDescent="0.25">
      <c r="A33" t="s">
        <v>63</v>
      </c>
      <c r="B33">
        <v>-1000</v>
      </c>
      <c r="C33">
        <v>1000</v>
      </c>
    </row>
    <row r="34" spans="1:3" x14ac:dyDescent="0.25">
      <c r="A34" t="s">
        <v>64</v>
      </c>
      <c r="B34">
        <v>-1000</v>
      </c>
      <c r="C34">
        <v>1000</v>
      </c>
    </row>
    <row r="35" spans="1:3" x14ac:dyDescent="0.25">
      <c r="A35" t="s">
        <v>65</v>
      </c>
      <c r="B35">
        <v>-1000</v>
      </c>
      <c r="C35">
        <v>1000</v>
      </c>
    </row>
    <row r="36" spans="1:3" x14ac:dyDescent="0.25">
      <c r="A36" t="s">
        <v>66</v>
      </c>
      <c r="B36">
        <v>-1000</v>
      </c>
      <c r="C36">
        <v>1000</v>
      </c>
    </row>
    <row r="37" spans="1:3" x14ac:dyDescent="0.25">
      <c r="A37" t="s">
        <v>442</v>
      </c>
      <c r="B37">
        <v>-1000</v>
      </c>
      <c r="C37">
        <v>1000</v>
      </c>
    </row>
    <row r="38" spans="1:3" x14ac:dyDescent="0.25">
      <c r="A38" t="s">
        <v>438</v>
      </c>
      <c r="B38">
        <v>0</v>
      </c>
      <c r="C38">
        <v>0</v>
      </c>
    </row>
    <row r="39" spans="1:3" x14ac:dyDescent="0.25">
      <c r="A39" t="s">
        <v>326</v>
      </c>
      <c r="B39">
        <v>0</v>
      </c>
      <c r="C39">
        <v>0</v>
      </c>
    </row>
    <row r="40" spans="1:3" x14ac:dyDescent="0.25">
      <c r="A40" t="s">
        <v>369</v>
      </c>
      <c r="B40">
        <v>-1000</v>
      </c>
      <c r="C40">
        <v>1000</v>
      </c>
    </row>
    <row r="41" spans="1:3" x14ac:dyDescent="0.25">
      <c r="A41" t="s">
        <v>67</v>
      </c>
      <c r="B41">
        <v>-1000</v>
      </c>
      <c r="C41">
        <v>1000</v>
      </c>
    </row>
    <row r="42" spans="1:3" x14ac:dyDescent="0.25">
      <c r="A42" t="s">
        <v>327</v>
      </c>
      <c r="B42">
        <v>-1000</v>
      </c>
      <c r="C42">
        <v>1000</v>
      </c>
    </row>
    <row r="43" spans="1:3" x14ac:dyDescent="0.25">
      <c r="A43" t="s">
        <v>68</v>
      </c>
      <c r="B43">
        <v>-1000</v>
      </c>
      <c r="C43">
        <v>1000</v>
      </c>
    </row>
    <row r="44" spans="1:3" x14ac:dyDescent="0.25">
      <c r="A44" t="s">
        <v>69</v>
      </c>
      <c r="B44">
        <v>-1000</v>
      </c>
      <c r="C44">
        <v>1000</v>
      </c>
    </row>
    <row r="45" spans="1:3" x14ac:dyDescent="0.25">
      <c r="A45" t="s">
        <v>70</v>
      </c>
      <c r="B45">
        <v>0</v>
      </c>
      <c r="C45">
        <v>0</v>
      </c>
    </row>
    <row r="46" spans="1:3" x14ac:dyDescent="0.25">
      <c r="A46" t="s">
        <v>71</v>
      </c>
      <c r="B46">
        <v>-1000</v>
      </c>
      <c r="C46">
        <v>1000</v>
      </c>
    </row>
    <row r="47" spans="1:3" x14ac:dyDescent="0.25">
      <c r="A47" t="s">
        <v>72</v>
      </c>
      <c r="B47">
        <v>-1000</v>
      </c>
      <c r="C47">
        <v>1000</v>
      </c>
    </row>
    <row r="48" spans="1:3" x14ac:dyDescent="0.25">
      <c r="A48" t="s">
        <v>73</v>
      </c>
      <c r="B48">
        <v>-1000</v>
      </c>
      <c r="C48">
        <v>1000</v>
      </c>
    </row>
    <row r="49" spans="1:3" x14ac:dyDescent="0.25">
      <c r="A49" t="s">
        <v>74</v>
      </c>
      <c r="B49">
        <v>-1000</v>
      </c>
      <c r="C49">
        <v>1000</v>
      </c>
    </row>
    <row r="50" spans="1:3" x14ac:dyDescent="0.25">
      <c r="A50" t="s">
        <v>75</v>
      </c>
      <c r="B50">
        <v>-1000</v>
      </c>
      <c r="C50">
        <v>1000</v>
      </c>
    </row>
    <row r="51" spans="1:3" x14ac:dyDescent="0.25">
      <c r="A51" t="s">
        <v>76</v>
      </c>
      <c r="B51">
        <v>-1000</v>
      </c>
      <c r="C51">
        <v>1000</v>
      </c>
    </row>
    <row r="52" spans="1:3" x14ac:dyDescent="0.25">
      <c r="A52" t="s">
        <v>77</v>
      </c>
      <c r="B52">
        <v>-1000</v>
      </c>
      <c r="C52">
        <v>1000</v>
      </c>
    </row>
    <row r="53" spans="1:3" x14ac:dyDescent="0.25">
      <c r="A53" t="s">
        <v>78</v>
      </c>
      <c r="B53">
        <v>-1000</v>
      </c>
      <c r="C53">
        <v>1000</v>
      </c>
    </row>
    <row r="54" spans="1:3" x14ac:dyDescent="0.25">
      <c r="A54" t="s">
        <v>79</v>
      </c>
      <c r="B54">
        <v>-1000</v>
      </c>
      <c r="C54">
        <v>1000</v>
      </c>
    </row>
    <row r="55" spans="1:3" x14ac:dyDescent="0.25">
      <c r="A55" t="s">
        <v>80</v>
      </c>
      <c r="B55">
        <v>-1000</v>
      </c>
      <c r="C55">
        <v>1000</v>
      </c>
    </row>
    <row r="56" spans="1:3" x14ac:dyDescent="0.25">
      <c r="A56" t="s">
        <v>81</v>
      </c>
      <c r="B56">
        <v>-1000</v>
      </c>
      <c r="C56">
        <v>1000</v>
      </c>
    </row>
    <row r="57" spans="1:3" x14ac:dyDescent="0.25">
      <c r="A57" t="s">
        <v>82</v>
      </c>
      <c r="B57">
        <v>-1000</v>
      </c>
      <c r="C57">
        <v>1000</v>
      </c>
    </row>
    <row r="58" spans="1:3" x14ac:dyDescent="0.25">
      <c r="A58" t="s">
        <v>83</v>
      </c>
      <c r="B58">
        <v>-1000</v>
      </c>
      <c r="C58">
        <v>1000</v>
      </c>
    </row>
    <row r="59" spans="1:3" x14ac:dyDescent="0.25">
      <c r="A59" t="s">
        <v>84</v>
      </c>
      <c r="B59">
        <v>-1000</v>
      </c>
      <c r="C59">
        <v>1000</v>
      </c>
    </row>
    <row r="60" spans="1:3" x14ac:dyDescent="0.25">
      <c r="A60" t="s">
        <v>365</v>
      </c>
      <c r="B60">
        <v>0</v>
      </c>
      <c r="C60">
        <v>0</v>
      </c>
    </row>
    <row r="61" spans="1:3" x14ac:dyDescent="0.25">
      <c r="A61" t="s">
        <v>328</v>
      </c>
      <c r="B61">
        <v>-1000</v>
      </c>
      <c r="C61">
        <v>1000</v>
      </c>
    </row>
    <row r="62" spans="1:3" x14ac:dyDescent="0.25">
      <c r="A62" t="s">
        <v>85</v>
      </c>
      <c r="B62">
        <v>-1000</v>
      </c>
      <c r="C62">
        <v>1000</v>
      </c>
    </row>
    <row r="63" spans="1:3" x14ac:dyDescent="0.25">
      <c r="A63" t="s">
        <v>86</v>
      </c>
      <c r="B63">
        <v>-1000</v>
      </c>
      <c r="C63">
        <v>1000</v>
      </c>
    </row>
    <row r="64" spans="1:3" x14ac:dyDescent="0.25">
      <c r="A64" t="s">
        <v>87</v>
      </c>
      <c r="B64">
        <v>-1000</v>
      </c>
      <c r="C64">
        <v>1000</v>
      </c>
    </row>
    <row r="65" spans="1:3" x14ac:dyDescent="0.25">
      <c r="A65" t="s">
        <v>88</v>
      </c>
      <c r="B65">
        <v>-1000</v>
      </c>
      <c r="C65">
        <v>1000</v>
      </c>
    </row>
    <row r="66" spans="1:3" x14ac:dyDescent="0.25">
      <c r="A66" t="s">
        <v>89</v>
      </c>
      <c r="B66">
        <v>-1000</v>
      </c>
      <c r="C66">
        <v>1000</v>
      </c>
    </row>
    <row r="67" spans="1:3" x14ac:dyDescent="0.25">
      <c r="A67" t="s">
        <v>90</v>
      </c>
      <c r="B67">
        <v>0</v>
      </c>
      <c r="C67">
        <v>1000</v>
      </c>
    </row>
    <row r="68" spans="1:3" x14ac:dyDescent="0.25">
      <c r="A68" t="s">
        <v>329</v>
      </c>
      <c r="B68">
        <v>-1000</v>
      </c>
      <c r="C68">
        <v>1000</v>
      </c>
    </row>
    <row r="69" spans="1:3" x14ac:dyDescent="0.25">
      <c r="A69" t="s">
        <v>91</v>
      </c>
      <c r="B69">
        <v>-1000</v>
      </c>
      <c r="C69">
        <v>1000</v>
      </c>
    </row>
    <row r="70" spans="1:3" x14ac:dyDescent="0.25">
      <c r="A70" t="s">
        <v>92</v>
      </c>
      <c r="B70">
        <v>-1000</v>
      </c>
      <c r="C70">
        <v>1000</v>
      </c>
    </row>
    <row r="71" spans="1:3" x14ac:dyDescent="0.25">
      <c r="A71" t="s">
        <v>93</v>
      </c>
      <c r="B71">
        <v>-1000</v>
      </c>
      <c r="C71">
        <v>1000</v>
      </c>
    </row>
    <row r="72" spans="1:3" x14ac:dyDescent="0.25">
      <c r="A72" t="s">
        <v>94</v>
      </c>
      <c r="B72">
        <v>-1000</v>
      </c>
      <c r="C72">
        <v>1000</v>
      </c>
    </row>
    <row r="73" spans="1:3" x14ac:dyDescent="0.25">
      <c r="A73" t="s">
        <v>330</v>
      </c>
      <c r="B73">
        <v>0</v>
      </c>
      <c r="C73">
        <v>1000</v>
      </c>
    </row>
    <row r="74" spans="1:3" x14ac:dyDescent="0.25">
      <c r="A74" t="s">
        <v>95</v>
      </c>
      <c r="B74">
        <v>-1000</v>
      </c>
      <c r="C74">
        <v>1000</v>
      </c>
    </row>
    <row r="75" spans="1:3" x14ac:dyDescent="0.25">
      <c r="A75" t="s">
        <v>331</v>
      </c>
      <c r="B75">
        <v>-1000</v>
      </c>
      <c r="C75">
        <v>1000</v>
      </c>
    </row>
    <row r="76" spans="1:3" x14ac:dyDescent="0.25">
      <c r="A76" t="s">
        <v>96</v>
      </c>
      <c r="B76">
        <v>-1000</v>
      </c>
      <c r="C76">
        <v>1000</v>
      </c>
    </row>
    <row r="77" spans="1:3" x14ac:dyDescent="0.25">
      <c r="A77" t="s">
        <v>97</v>
      </c>
      <c r="B77">
        <v>-1000</v>
      </c>
      <c r="C77">
        <v>1000</v>
      </c>
    </row>
    <row r="78" spans="1:3" x14ac:dyDescent="0.25">
      <c r="A78" t="s">
        <v>98</v>
      </c>
      <c r="B78">
        <v>-1000</v>
      </c>
      <c r="C78">
        <v>1000</v>
      </c>
    </row>
    <row r="79" spans="1:3" x14ac:dyDescent="0.25">
      <c r="A79" t="s">
        <v>99</v>
      </c>
      <c r="B79">
        <v>-1000</v>
      </c>
      <c r="C79">
        <v>1000</v>
      </c>
    </row>
    <row r="80" spans="1:3" x14ac:dyDescent="0.25">
      <c r="A80" t="s">
        <v>100</v>
      </c>
      <c r="B80">
        <v>-1000</v>
      </c>
      <c r="C80">
        <v>1000</v>
      </c>
    </row>
    <row r="81" spans="1:3" x14ac:dyDescent="0.25">
      <c r="A81" t="s">
        <v>101</v>
      </c>
      <c r="B81">
        <v>-1000</v>
      </c>
      <c r="C81">
        <v>1000</v>
      </c>
    </row>
    <row r="82" spans="1:3" x14ac:dyDescent="0.25">
      <c r="A82" t="s">
        <v>102</v>
      </c>
      <c r="B82">
        <v>-1000</v>
      </c>
      <c r="C82">
        <v>1000</v>
      </c>
    </row>
    <row r="83" spans="1:3" x14ac:dyDescent="0.25">
      <c r="A83" t="s">
        <v>103</v>
      </c>
      <c r="B83">
        <v>-1000</v>
      </c>
      <c r="C83">
        <v>1000</v>
      </c>
    </row>
    <row r="84" spans="1:3" x14ac:dyDescent="0.25">
      <c r="A84" t="s">
        <v>104</v>
      </c>
      <c r="B84">
        <v>-1000</v>
      </c>
      <c r="C84">
        <v>1000</v>
      </c>
    </row>
    <row r="85" spans="1:3" x14ac:dyDescent="0.25">
      <c r="A85" t="s">
        <v>105</v>
      </c>
      <c r="B85">
        <v>-1000</v>
      </c>
      <c r="C85">
        <v>1000</v>
      </c>
    </row>
    <row r="86" spans="1:3" x14ac:dyDescent="0.25">
      <c r="A86" t="s">
        <v>106</v>
      </c>
      <c r="B86">
        <v>-1000</v>
      </c>
      <c r="C86">
        <v>1000</v>
      </c>
    </row>
    <row r="87" spans="1:3" x14ac:dyDescent="0.25">
      <c r="A87" t="s">
        <v>107</v>
      </c>
      <c r="B87">
        <v>-1000</v>
      </c>
      <c r="C87">
        <v>1000</v>
      </c>
    </row>
    <row r="88" spans="1:3" x14ac:dyDescent="0.25">
      <c r="A88" t="s">
        <v>108</v>
      </c>
      <c r="B88">
        <v>-1000</v>
      </c>
      <c r="C88">
        <v>1000</v>
      </c>
    </row>
    <row r="89" spans="1:3" x14ac:dyDescent="0.25">
      <c r="A89" t="s">
        <v>109</v>
      </c>
      <c r="B89">
        <v>-1000</v>
      </c>
      <c r="C89">
        <v>1000</v>
      </c>
    </row>
    <row r="90" spans="1:3" x14ac:dyDescent="0.25">
      <c r="A90" t="s">
        <v>110</v>
      </c>
      <c r="B90">
        <v>-1000</v>
      </c>
      <c r="C90">
        <v>1000</v>
      </c>
    </row>
    <row r="91" spans="1:3" x14ac:dyDescent="0.25">
      <c r="A91" t="s">
        <v>111</v>
      </c>
      <c r="B91">
        <v>-1000</v>
      </c>
      <c r="C91">
        <v>1000</v>
      </c>
    </row>
    <row r="92" spans="1:3" x14ac:dyDescent="0.25">
      <c r="A92" t="s">
        <v>112</v>
      </c>
      <c r="B92">
        <v>-1000</v>
      </c>
      <c r="C92">
        <v>1000</v>
      </c>
    </row>
    <row r="93" spans="1:3" x14ac:dyDescent="0.25">
      <c r="A93" t="s">
        <v>113</v>
      </c>
      <c r="B93">
        <v>-1000</v>
      </c>
      <c r="C93">
        <v>1000</v>
      </c>
    </row>
    <row r="94" spans="1:3" x14ac:dyDescent="0.25">
      <c r="A94" t="s">
        <v>114</v>
      </c>
      <c r="B94">
        <v>-1000</v>
      </c>
      <c r="C94">
        <v>1000</v>
      </c>
    </row>
    <row r="95" spans="1:3" x14ac:dyDescent="0.25">
      <c r="A95" t="s">
        <v>115</v>
      </c>
      <c r="B95">
        <v>-1000</v>
      </c>
      <c r="C95">
        <v>1000</v>
      </c>
    </row>
    <row r="96" spans="1:3" x14ac:dyDescent="0.25">
      <c r="A96" t="s">
        <v>116</v>
      </c>
      <c r="B96">
        <v>-1000</v>
      </c>
      <c r="C96">
        <v>1000</v>
      </c>
    </row>
    <row r="97" spans="1:3" x14ac:dyDescent="0.25">
      <c r="A97" t="s">
        <v>117</v>
      </c>
      <c r="B97">
        <v>-1000</v>
      </c>
      <c r="C97">
        <v>1000</v>
      </c>
    </row>
    <row r="98" spans="1:3" x14ac:dyDescent="0.25">
      <c r="A98" t="s">
        <v>118</v>
      </c>
      <c r="B98">
        <v>-1000</v>
      </c>
      <c r="C98">
        <v>1000</v>
      </c>
    </row>
    <row r="99" spans="1:3" x14ac:dyDescent="0.25">
      <c r="A99" t="s">
        <v>119</v>
      </c>
      <c r="B99">
        <v>-1000</v>
      </c>
      <c r="C99">
        <v>1000</v>
      </c>
    </row>
    <row r="100" spans="1:3" x14ac:dyDescent="0.25">
      <c r="A100" t="s">
        <v>120</v>
      </c>
      <c r="B100">
        <v>-1000</v>
      </c>
      <c r="C100">
        <v>1000</v>
      </c>
    </row>
    <row r="101" spans="1:3" x14ac:dyDescent="0.25">
      <c r="A101" t="s">
        <v>121</v>
      </c>
      <c r="B101">
        <v>-1000</v>
      </c>
      <c r="C101">
        <v>1000</v>
      </c>
    </row>
    <row r="102" spans="1:3" x14ac:dyDescent="0.25">
      <c r="A102" t="s">
        <v>122</v>
      </c>
      <c r="B102">
        <v>-1000</v>
      </c>
      <c r="C102">
        <v>1000</v>
      </c>
    </row>
    <row r="103" spans="1:3" x14ac:dyDescent="0.25">
      <c r="A103" t="s">
        <v>123</v>
      </c>
      <c r="B103">
        <v>-1000</v>
      </c>
      <c r="C103">
        <v>1000</v>
      </c>
    </row>
    <row r="104" spans="1:3" x14ac:dyDescent="0.25">
      <c r="A104" t="s">
        <v>124</v>
      </c>
      <c r="B104">
        <v>-1000</v>
      </c>
      <c r="C104">
        <v>1000</v>
      </c>
    </row>
    <row r="105" spans="1:3" x14ac:dyDescent="0.25">
      <c r="A105" t="s">
        <v>332</v>
      </c>
      <c r="B105">
        <v>-1000</v>
      </c>
      <c r="C105">
        <v>1000</v>
      </c>
    </row>
    <row r="106" spans="1:3" x14ac:dyDescent="0.25">
      <c r="A106" t="s">
        <v>333</v>
      </c>
      <c r="B106">
        <v>-1000</v>
      </c>
      <c r="C106">
        <v>1000</v>
      </c>
    </row>
    <row r="107" spans="1:3" x14ac:dyDescent="0.25">
      <c r="A107" t="s">
        <v>125</v>
      </c>
      <c r="B107">
        <v>-1000</v>
      </c>
      <c r="C107">
        <v>1000</v>
      </c>
    </row>
    <row r="108" spans="1:3" x14ac:dyDescent="0.25">
      <c r="A108" t="s">
        <v>126</v>
      </c>
      <c r="B108">
        <v>-1000</v>
      </c>
      <c r="C108">
        <v>1000</v>
      </c>
    </row>
    <row r="109" spans="1:3" x14ac:dyDescent="0.25">
      <c r="A109" t="s">
        <v>127</v>
      </c>
      <c r="B109">
        <v>-1000</v>
      </c>
      <c r="C109">
        <v>1000</v>
      </c>
    </row>
    <row r="110" spans="1:3" x14ac:dyDescent="0.25">
      <c r="A110" t="s">
        <v>128</v>
      </c>
      <c r="B110">
        <v>-1000</v>
      </c>
      <c r="C110">
        <v>1000</v>
      </c>
    </row>
    <row r="111" spans="1:3" x14ac:dyDescent="0.25">
      <c r="A111" t="s">
        <v>129</v>
      </c>
      <c r="B111">
        <v>-1000</v>
      </c>
      <c r="C111">
        <v>1000</v>
      </c>
    </row>
    <row r="112" spans="1:3" x14ac:dyDescent="0.25">
      <c r="A112" t="s">
        <v>130</v>
      </c>
      <c r="B112">
        <v>-1000</v>
      </c>
      <c r="C112">
        <v>1000</v>
      </c>
    </row>
    <row r="113" spans="1:3" x14ac:dyDescent="0.25">
      <c r="A113" t="s">
        <v>364</v>
      </c>
      <c r="B113">
        <v>-1000</v>
      </c>
      <c r="C113">
        <v>1000</v>
      </c>
    </row>
    <row r="114" spans="1:3" x14ac:dyDescent="0.25">
      <c r="A114" t="s">
        <v>131</v>
      </c>
      <c r="B114">
        <v>-1000</v>
      </c>
      <c r="C114">
        <v>1000</v>
      </c>
    </row>
    <row r="115" spans="1:3" x14ac:dyDescent="0.25">
      <c r="A115" t="s">
        <v>132</v>
      </c>
      <c r="B115">
        <v>-1000</v>
      </c>
      <c r="C115">
        <v>1000</v>
      </c>
    </row>
    <row r="116" spans="1:3" x14ac:dyDescent="0.25">
      <c r="A116" t="s">
        <v>334</v>
      </c>
      <c r="B116">
        <v>-1000</v>
      </c>
      <c r="C116">
        <v>1000</v>
      </c>
    </row>
    <row r="117" spans="1:3" x14ac:dyDescent="0.25">
      <c r="A117" t="s">
        <v>133</v>
      </c>
      <c r="B117">
        <v>-1000</v>
      </c>
      <c r="C117">
        <v>1000</v>
      </c>
    </row>
    <row r="118" spans="1:3" x14ac:dyDescent="0.25">
      <c r="A118" t="s">
        <v>135</v>
      </c>
      <c r="B118">
        <v>-1000</v>
      </c>
      <c r="C118">
        <v>1000</v>
      </c>
    </row>
    <row r="119" spans="1:3" x14ac:dyDescent="0.25">
      <c r="A119" t="s">
        <v>136</v>
      </c>
      <c r="B119">
        <v>-1000</v>
      </c>
      <c r="C119">
        <v>1000</v>
      </c>
    </row>
    <row r="120" spans="1:3" x14ac:dyDescent="0.25">
      <c r="A120" t="s">
        <v>137</v>
      </c>
      <c r="B120">
        <v>-1000</v>
      </c>
      <c r="C120">
        <v>1000</v>
      </c>
    </row>
    <row r="121" spans="1:3" x14ac:dyDescent="0.25">
      <c r="A121" t="s">
        <v>138</v>
      </c>
      <c r="B121">
        <v>-1000</v>
      </c>
      <c r="C121">
        <v>1000</v>
      </c>
    </row>
    <row r="122" spans="1:3" x14ac:dyDescent="0.25">
      <c r="A122" t="s">
        <v>139</v>
      </c>
      <c r="B122">
        <v>-1000</v>
      </c>
      <c r="C122">
        <v>1000</v>
      </c>
    </row>
    <row r="123" spans="1:3" x14ac:dyDescent="0.25">
      <c r="A123" t="s">
        <v>140</v>
      </c>
      <c r="B123">
        <v>-1000</v>
      </c>
      <c r="C123">
        <v>1000</v>
      </c>
    </row>
    <row r="124" spans="1:3" x14ac:dyDescent="0.25">
      <c r="A124" t="s">
        <v>141</v>
      </c>
      <c r="B124">
        <v>-1000</v>
      </c>
      <c r="C124">
        <v>1000</v>
      </c>
    </row>
    <row r="125" spans="1:3" x14ac:dyDescent="0.25">
      <c r="A125" t="s">
        <v>142</v>
      </c>
      <c r="B125">
        <v>-1000</v>
      </c>
      <c r="C125">
        <v>1000</v>
      </c>
    </row>
    <row r="126" spans="1:3" x14ac:dyDescent="0.25">
      <c r="A126" t="s">
        <v>367</v>
      </c>
      <c r="B126">
        <v>0</v>
      </c>
      <c r="C126">
        <v>0</v>
      </c>
    </row>
    <row r="127" spans="1:3" x14ac:dyDescent="0.25">
      <c r="A127" t="s">
        <v>368</v>
      </c>
      <c r="B127">
        <v>0</v>
      </c>
      <c r="C127">
        <v>0</v>
      </c>
    </row>
    <row r="128" spans="1:3" x14ac:dyDescent="0.25">
      <c r="A128" t="s">
        <v>143</v>
      </c>
      <c r="B128">
        <v>-1000</v>
      </c>
      <c r="C128">
        <v>1000</v>
      </c>
    </row>
    <row r="129" spans="1:3" x14ac:dyDescent="0.25">
      <c r="A129" t="s">
        <v>366</v>
      </c>
      <c r="B129">
        <v>-1000</v>
      </c>
      <c r="C129">
        <v>1000</v>
      </c>
    </row>
    <row r="130" spans="1:3" x14ac:dyDescent="0.25">
      <c r="A130" t="s">
        <v>145</v>
      </c>
      <c r="B130">
        <v>-1000</v>
      </c>
      <c r="C130">
        <v>1000</v>
      </c>
    </row>
    <row r="131" spans="1:3" x14ac:dyDescent="0.25">
      <c r="A131" t="s">
        <v>146</v>
      </c>
      <c r="B131">
        <v>0</v>
      </c>
      <c r="C131">
        <v>1000</v>
      </c>
    </row>
    <row r="132" spans="1:3" x14ac:dyDescent="0.25">
      <c r="A132" t="s">
        <v>147</v>
      </c>
      <c r="B132">
        <v>0</v>
      </c>
      <c r="C132">
        <v>1000</v>
      </c>
    </row>
    <row r="133" spans="1:3" x14ac:dyDescent="0.25">
      <c r="A133" t="s">
        <v>148</v>
      </c>
      <c r="B133">
        <v>-1000</v>
      </c>
      <c r="C133">
        <v>1000</v>
      </c>
    </row>
    <row r="134" spans="1:3" x14ac:dyDescent="0.25">
      <c r="A134" t="s">
        <v>149</v>
      </c>
      <c r="B134">
        <v>-1000</v>
      </c>
      <c r="C134">
        <v>1000</v>
      </c>
    </row>
    <row r="135" spans="1:3" x14ac:dyDescent="0.25">
      <c r="A135" t="s">
        <v>361</v>
      </c>
      <c r="B135">
        <v>0</v>
      </c>
      <c r="C135">
        <v>1000</v>
      </c>
    </row>
    <row r="136" spans="1:3" x14ac:dyDescent="0.25">
      <c r="A136" t="s">
        <v>362</v>
      </c>
      <c r="B136">
        <v>0</v>
      </c>
      <c r="C136">
        <v>1000</v>
      </c>
    </row>
    <row r="137" spans="1:3" x14ac:dyDescent="0.25">
      <c r="A137" t="s">
        <v>151</v>
      </c>
      <c r="B137">
        <v>-1000</v>
      </c>
      <c r="C137">
        <v>1000</v>
      </c>
    </row>
    <row r="138" spans="1:3" x14ac:dyDescent="0.25">
      <c r="A138" t="s">
        <v>152</v>
      </c>
      <c r="B138">
        <v>-1000</v>
      </c>
      <c r="C138">
        <v>1000</v>
      </c>
    </row>
    <row r="139" spans="1:3" x14ac:dyDescent="0.25">
      <c r="A139" t="s">
        <v>153</v>
      </c>
      <c r="B139">
        <v>-1000</v>
      </c>
      <c r="C139">
        <v>1000</v>
      </c>
    </row>
    <row r="140" spans="1:3" x14ac:dyDescent="0.25">
      <c r="A140" t="s">
        <v>154</v>
      </c>
      <c r="B140">
        <v>-1000</v>
      </c>
      <c r="C140">
        <v>1000</v>
      </c>
    </row>
    <row r="141" spans="1:3" x14ac:dyDescent="0.25">
      <c r="A141" t="s">
        <v>144</v>
      </c>
      <c r="B141">
        <v>0</v>
      </c>
      <c r="C141">
        <v>1000</v>
      </c>
    </row>
    <row r="142" spans="1:3" x14ac:dyDescent="0.25">
      <c r="A142" t="s">
        <v>155</v>
      </c>
      <c r="B142">
        <v>-1000</v>
      </c>
      <c r="C142">
        <v>1000</v>
      </c>
    </row>
    <row r="143" spans="1:3" x14ac:dyDescent="0.25">
      <c r="A143" t="s">
        <v>156</v>
      </c>
      <c r="B143">
        <v>-1000</v>
      </c>
      <c r="C143">
        <v>1000</v>
      </c>
    </row>
    <row r="144" spans="1:3" x14ac:dyDescent="0.25">
      <c r="A144" t="s">
        <v>157</v>
      </c>
      <c r="B144">
        <v>-1000</v>
      </c>
      <c r="C144">
        <v>1000</v>
      </c>
    </row>
    <row r="145" spans="1:3" x14ac:dyDescent="0.25">
      <c r="A145" t="s">
        <v>158</v>
      </c>
      <c r="B145">
        <v>-1000</v>
      </c>
      <c r="C145">
        <v>1000</v>
      </c>
    </row>
    <row r="146" spans="1:3" x14ac:dyDescent="0.25">
      <c r="A146" t="s">
        <v>159</v>
      </c>
      <c r="B146">
        <v>-1000</v>
      </c>
      <c r="C146">
        <v>1000</v>
      </c>
    </row>
    <row r="147" spans="1:3" x14ac:dyDescent="0.25">
      <c r="A147" t="s">
        <v>385</v>
      </c>
      <c r="B147">
        <v>-1000</v>
      </c>
      <c r="C147">
        <v>1000</v>
      </c>
    </row>
    <row r="148" spans="1:3" x14ac:dyDescent="0.25">
      <c r="A148" t="s">
        <v>160</v>
      </c>
      <c r="B148">
        <v>-1000</v>
      </c>
      <c r="C148">
        <v>1000</v>
      </c>
    </row>
    <row r="149" spans="1:3" x14ac:dyDescent="0.25">
      <c r="A149" t="s">
        <v>161</v>
      </c>
      <c r="B149">
        <v>-1000</v>
      </c>
      <c r="C149">
        <v>1000</v>
      </c>
    </row>
    <row r="150" spans="1:3" x14ac:dyDescent="0.25">
      <c r="A150" t="s">
        <v>162</v>
      </c>
      <c r="B150">
        <v>-1000</v>
      </c>
      <c r="C150">
        <v>1000</v>
      </c>
    </row>
    <row r="151" spans="1:3" x14ac:dyDescent="0.25">
      <c r="A151" t="s">
        <v>163</v>
      </c>
      <c r="B151">
        <v>-1000</v>
      </c>
      <c r="C151">
        <v>1000</v>
      </c>
    </row>
    <row r="152" spans="1:3" x14ac:dyDescent="0.25">
      <c r="A152" t="s">
        <v>164</v>
      </c>
      <c r="B152">
        <v>-1000</v>
      </c>
      <c r="C152">
        <v>1000</v>
      </c>
    </row>
    <row r="153" spans="1:3" x14ac:dyDescent="0.25">
      <c r="A153" t="s">
        <v>165</v>
      </c>
      <c r="B153">
        <v>-1000</v>
      </c>
      <c r="C153">
        <v>1000</v>
      </c>
    </row>
    <row r="154" spans="1:3" x14ac:dyDescent="0.25">
      <c r="A154" t="s">
        <v>166</v>
      </c>
      <c r="B154">
        <v>-1000</v>
      </c>
      <c r="C154">
        <v>1000</v>
      </c>
    </row>
    <row r="155" spans="1:3" x14ac:dyDescent="0.25">
      <c r="A155" t="s">
        <v>167</v>
      </c>
      <c r="B155">
        <v>-1000</v>
      </c>
      <c r="C155">
        <v>1000</v>
      </c>
    </row>
    <row r="156" spans="1:3" x14ac:dyDescent="0.25">
      <c r="A156" t="s">
        <v>335</v>
      </c>
      <c r="B156">
        <v>-1000</v>
      </c>
      <c r="C156">
        <v>1000</v>
      </c>
    </row>
    <row r="157" spans="1:3" x14ac:dyDescent="0.25">
      <c r="A157" t="s">
        <v>168</v>
      </c>
      <c r="B157">
        <v>-1000</v>
      </c>
      <c r="C157">
        <v>1000</v>
      </c>
    </row>
    <row r="158" spans="1:3" x14ac:dyDescent="0.25">
      <c r="A158" t="s">
        <v>169</v>
      </c>
      <c r="B158">
        <v>-1000</v>
      </c>
      <c r="C158">
        <v>1000</v>
      </c>
    </row>
    <row r="159" spans="1:3" x14ac:dyDescent="0.25">
      <c r="A159" t="s">
        <v>170</v>
      </c>
      <c r="B159">
        <v>-1000</v>
      </c>
      <c r="C159">
        <v>1000</v>
      </c>
    </row>
    <row r="160" spans="1:3" x14ac:dyDescent="0.25">
      <c r="A160" t="s">
        <v>171</v>
      </c>
      <c r="B160">
        <v>-1000</v>
      </c>
      <c r="C160">
        <v>1000</v>
      </c>
    </row>
    <row r="161" spans="1:3" x14ac:dyDescent="0.25">
      <c r="A161" t="s">
        <v>173</v>
      </c>
      <c r="B161">
        <v>-1000</v>
      </c>
      <c r="C161">
        <v>1000</v>
      </c>
    </row>
    <row r="162" spans="1:3" x14ac:dyDescent="0.25">
      <c r="A162" t="s">
        <v>174</v>
      </c>
      <c r="B162">
        <v>-1000</v>
      </c>
      <c r="C162">
        <v>1000</v>
      </c>
    </row>
    <row r="163" spans="1:3" x14ac:dyDescent="0.25">
      <c r="A163" t="s">
        <v>175</v>
      </c>
      <c r="B163">
        <v>-1000</v>
      </c>
      <c r="C163">
        <v>1000</v>
      </c>
    </row>
    <row r="164" spans="1:3" x14ac:dyDescent="0.25">
      <c r="A164" t="s">
        <v>435</v>
      </c>
      <c r="B164">
        <v>-1000</v>
      </c>
      <c r="C164">
        <v>1000</v>
      </c>
    </row>
    <row r="165" spans="1:3" x14ac:dyDescent="0.25">
      <c r="A165" t="s">
        <v>176</v>
      </c>
      <c r="B165">
        <v>-1000</v>
      </c>
      <c r="C165">
        <v>1000</v>
      </c>
    </row>
    <row r="166" spans="1:3" x14ac:dyDescent="0.25">
      <c r="A166" t="s">
        <v>177</v>
      </c>
      <c r="B166">
        <v>-1000</v>
      </c>
      <c r="C166">
        <v>1000</v>
      </c>
    </row>
    <row r="167" spans="1:3" x14ac:dyDescent="0.25">
      <c r="A167" t="s">
        <v>363</v>
      </c>
      <c r="B167">
        <v>0</v>
      </c>
      <c r="C167">
        <v>0</v>
      </c>
    </row>
    <row r="168" spans="1:3" x14ac:dyDescent="0.25">
      <c r="A168" t="s">
        <v>336</v>
      </c>
      <c r="B168">
        <v>-1000</v>
      </c>
      <c r="C168">
        <v>1000</v>
      </c>
    </row>
    <row r="169" spans="1:3" x14ac:dyDescent="0.25">
      <c r="A169" t="s">
        <v>360</v>
      </c>
      <c r="B169">
        <v>100</v>
      </c>
      <c r="C169">
        <v>100</v>
      </c>
    </row>
    <row r="170" spans="1:3" x14ac:dyDescent="0.25">
      <c r="A170" t="s">
        <v>178</v>
      </c>
      <c r="B170">
        <f>val!C7</f>
        <v>194.96583861362987</v>
      </c>
      <c r="C170">
        <f>val!C7</f>
        <v>194.96583861362987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04A93-564F-49A1-A2B4-B9D314E30ACC}">
  <dimension ref="A1:C170"/>
  <sheetViews>
    <sheetView topLeftCell="A28" workbookViewId="0">
      <selection activeCell="A37" sqref="A37"/>
    </sheetView>
  </sheetViews>
  <sheetFormatPr defaultRowHeight="15" x14ac:dyDescent="0.25"/>
  <cols>
    <col min="1" max="1" width="18.5703125" bestFit="1" customWidth="1"/>
  </cols>
  <sheetData>
    <row r="1" spans="1:3" x14ac:dyDescent="0.25">
      <c r="A1" t="s">
        <v>5</v>
      </c>
      <c r="B1" t="s">
        <v>352</v>
      </c>
      <c r="C1" t="s">
        <v>353</v>
      </c>
    </row>
    <row r="2" spans="1:3" x14ac:dyDescent="0.25">
      <c r="A2" t="s">
        <v>39</v>
      </c>
      <c r="B2">
        <v>-1000</v>
      </c>
      <c r="C2">
        <v>1000</v>
      </c>
    </row>
    <row r="3" spans="1:3" x14ac:dyDescent="0.25">
      <c r="A3" t="s">
        <v>359</v>
      </c>
      <c r="B3">
        <v>0</v>
      </c>
      <c r="C3">
        <v>0</v>
      </c>
    </row>
    <row r="4" spans="1:3" x14ac:dyDescent="0.25">
      <c r="A4" t="s">
        <v>386</v>
      </c>
      <c r="B4">
        <v>-1000</v>
      </c>
      <c r="C4">
        <v>1000</v>
      </c>
    </row>
    <row r="5" spans="1:3" x14ac:dyDescent="0.25">
      <c r="A5" t="s">
        <v>358</v>
      </c>
      <c r="B5">
        <v>0</v>
      </c>
      <c r="C5">
        <v>0</v>
      </c>
    </row>
    <row r="6" spans="1:3" x14ac:dyDescent="0.25">
      <c r="A6" t="s">
        <v>40</v>
      </c>
      <c r="B6">
        <v>-1000</v>
      </c>
      <c r="C6">
        <v>1000</v>
      </c>
    </row>
    <row r="7" spans="1:3" x14ac:dyDescent="0.25">
      <c r="A7" t="s">
        <v>41</v>
      </c>
      <c r="B7">
        <v>-1000</v>
      </c>
      <c r="C7">
        <v>1000</v>
      </c>
    </row>
    <row r="8" spans="1:3" x14ac:dyDescent="0.25">
      <c r="A8" t="s">
        <v>42</v>
      </c>
      <c r="B8">
        <v>-1000</v>
      </c>
      <c r="C8">
        <v>1000</v>
      </c>
    </row>
    <row r="9" spans="1:3" x14ac:dyDescent="0.25">
      <c r="A9" t="s">
        <v>43</v>
      </c>
      <c r="B9">
        <v>-1000</v>
      </c>
      <c r="C9">
        <v>1000</v>
      </c>
    </row>
    <row r="10" spans="1:3" x14ac:dyDescent="0.25">
      <c r="A10" t="s">
        <v>44</v>
      </c>
      <c r="B10">
        <v>-1000</v>
      </c>
      <c r="C10">
        <v>1000</v>
      </c>
    </row>
    <row r="11" spans="1:3" x14ac:dyDescent="0.25">
      <c r="A11" t="s">
        <v>45</v>
      </c>
      <c r="B11">
        <v>0</v>
      </c>
      <c r="C11">
        <v>0</v>
      </c>
    </row>
    <row r="12" spans="1:3" x14ac:dyDescent="0.25">
      <c r="A12" t="s">
        <v>324</v>
      </c>
      <c r="B12">
        <v>0</v>
      </c>
      <c r="C12">
        <v>1000</v>
      </c>
    </row>
    <row r="13" spans="1:3" x14ac:dyDescent="0.25">
      <c r="A13" t="s">
        <v>371</v>
      </c>
      <c r="B13">
        <v>-1000</v>
      </c>
      <c r="C13">
        <v>1000</v>
      </c>
    </row>
    <row r="14" spans="1:3" x14ac:dyDescent="0.25">
      <c r="A14" t="s">
        <v>371</v>
      </c>
      <c r="B14">
        <v>-1000</v>
      </c>
      <c r="C14">
        <v>1000</v>
      </c>
    </row>
    <row r="15" spans="1:3" x14ac:dyDescent="0.25">
      <c r="A15" t="s">
        <v>46</v>
      </c>
      <c r="B15">
        <v>-1000</v>
      </c>
      <c r="C15">
        <v>1000</v>
      </c>
    </row>
    <row r="16" spans="1:3" x14ac:dyDescent="0.25">
      <c r="A16" t="s">
        <v>47</v>
      </c>
      <c r="B16">
        <v>-1000</v>
      </c>
      <c r="C16">
        <v>1000</v>
      </c>
    </row>
    <row r="17" spans="1:3" x14ac:dyDescent="0.25">
      <c r="A17" t="s">
        <v>48</v>
      </c>
      <c r="B17">
        <v>-1000</v>
      </c>
      <c r="C17">
        <v>1000</v>
      </c>
    </row>
    <row r="18" spans="1:3" x14ac:dyDescent="0.25">
      <c r="A18" t="s">
        <v>49</v>
      </c>
      <c r="B18">
        <v>-1000</v>
      </c>
      <c r="C18">
        <v>1000</v>
      </c>
    </row>
    <row r="19" spans="1:3" x14ac:dyDescent="0.25">
      <c r="A19" t="s">
        <v>50</v>
      </c>
      <c r="B19">
        <v>-1000</v>
      </c>
      <c r="C19">
        <v>1000</v>
      </c>
    </row>
    <row r="20" spans="1:3" x14ac:dyDescent="0.25">
      <c r="A20" t="s">
        <v>51</v>
      </c>
      <c r="B20">
        <v>-1000</v>
      </c>
      <c r="C20">
        <v>1000</v>
      </c>
    </row>
    <row r="21" spans="1:3" x14ac:dyDescent="0.25">
      <c r="A21" t="s">
        <v>52</v>
      </c>
      <c r="B21">
        <v>-1000</v>
      </c>
      <c r="C21">
        <v>1000</v>
      </c>
    </row>
    <row r="22" spans="1:3" x14ac:dyDescent="0.25">
      <c r="A22" t="s">
        <v>53</v>
      </c>
      <c r="B22">
        <v>-1000</v>
      </c>
      <c r="C22">
        <v>1000</v>
      </c>
    </row>
    <row r="23" spans="1:3" x14ac:dyDescent="0.25">
      <c r="A23" t="s">
        <v>54</v>
      </c>
      <c r="B23">
        <v>-1000</v>
      </c>
      <c r="C23">
        <v>1000</v>
      </c>
    </row>
    <row r="24" spans="1:3" x14ac:dyDescent="0.25">
      <c r="A24" t="s">
        <v>55</v>
      </c>
      <c r="B24">
        <v>-1000</v>
      </c>
      <c r="C24">
        <v>1000</v>
      </c>
    </row>
    <row r="25" spans="1:3" x14ac:dyDescent="0.25">
      <c r="A25" t="s">
        <v>56</v>
      </c>
      <c r="B25">
        <v>-1000</v>
      </c>
      <c r="C25">
        <v>1000</v>
      </c>
    </row>
    <row r="26" spans="1:3" x14ac:dyDescent="0.25">
      <c r="A26" t="s">
        <v>57</v>
      </c>
      <c r="B26">
        <v>-1000</v>
      </c>
      <c r="C26">
        <v>1000</v>
      </c>
    </row>
    <row r="27" spans="1:3" x14ac:dyDescent="0.25">
      <c r="A27" t="s">
        <v>58</v>
      </c>
      <c r="B27">
        <v>-1000</v>
      </c>
      <c r="C27">
        <v>1000</v>
      </c>
    </row>
    <row r="28" spans="1:3" x14ac:dyDescent="0.25">
      <c r="A28" t="s">
        <v>59</v>
      </c>
      <c r="B28">
        <v>-1000</v>
      </c>
      <c r="C28">
        <v>1000</v>
      </c>
    </row>
    <row r="29" spans="1:3" x14ac:dyDescent="0.25">
      <c r="A29" t="s">
        <v>325</v>
      </c>
      <c r="B29">
        <v>-1000</v>
      </c>
      <c r="C29">
        <v>1000</v>
      </c>
    </row>
    <row r="30" spans="1:3" x14ac:dyDescent="0.25">
      <c r="A30" t="s">
        <v>60</v>
      </c>
      <c r="B30">
        <v>-1000</v>
      </c>
      <c r="C30">
        <v>1000</v>
      </c>
    </row>
    <row r="31" spans="1:3" x14ac:dyDescent="0.25">
      <c r="A31" t="s">
        <v>61</v>
      </c>
      <c r="B31">
        <v>-1000</v>
      </c>
      <c r="C31">
        <v>1000</v>
      </c>
    </row>
    <row r="32" spans="1:3" x14ac:dyDescent="0.25">
      <c r="A32" t="s">
        <v>62</v>
      </c>
      <c r="B32">
        <v>-1000</v>
      </c>
      <c r="C32">
        <v>1000</v>
      </c>
    </row>
    <row r="33" spans="1:3" x14ac:dyDescent="0.25">
      <c r="A33" t="s">
        <v>63</v>
      </c>
      <c r="B33">
        <v>-1000</v>
      </c>
      <c r="C33">
        <v>1000</v>
      </c>
    </row>
    <row r="34" spans="1:3" x14ac:dyDescent="0.25">
      <c r="A34" t="s">
        <v>64</v>
      </c>
      <c r="B34">
        <v>-1000</v>
      </c>
      <c r="C34">
        <v>1000</v>
      </c>
    </row>
    <row r="35" spans="1:3" x14ac:dyDescent="0.25">
      <c r="A35" t="s">
        <v>65</v>
      </c>
      <c r="B35">
        <v>-1000</v>
      </c>
      <c r="C35">
        <v>1000</v>
      </c>
    </row>
    <row r="36" spans="1:3" x14ac:dyDescent="0.25">
      <c r="A36" t="s">
        <v>66</v>
      </c>
      <c r="B36">
        <v>-1000</v>
      </c>
      <c r="C36">
        <v>1000</v>
      </c>
    </row>
    <row r="37" spans="1:3" x14ac:dyDescent="0.25">
      <c r="A37" t="s">
        <v>442</v>
      </c>
      <c r="B37">
        <v>-1000</v>
      </c>
      <c r="C37">
        <v>1000</v>
      </c>
    </row>
    <row r="38" spans="1:3" x14ac:dyDescent="0.25">
      <c r="A38" t="s">
        <v>438</v>
      </c>
      <c r="B38">
        <v>0</v>
      </c>
      <c r="C38">
        <v>0</v>
      </c>
    </row>
    <row r="39" spans="1:3" x14ac:dyDescent="0.25">
      <c r="A39" t="s">
        <v>326</v>
      </c>
      <c r="B39">
        <v>-1000</v>
      </c>
      <c r="C39">
        <v>1000</v>
      </c>
    </row>
    <row r="40" spans="1:3" x14ac:dyDescent="0.25">
      <c r="A40" t="s">
        <v>369</v>
      </c>
      <c r="B40">
        <v>-1000</v>
      </c>
      <c r="C40">
        <v>1000</v>
      </c>
    </row>
    <row r="41" spans="1:3" x14ac:dyDescent="0.25">
      <c r="A41" t="s">
        <v>67</v>
      </c>
      <c r="B41">
        <v>-1000</v>
      </c>
      <c r="C41">
        <v>1000</v>
      </c>
    </row>
    <row r="42" spans="1:3" x14ac:dyDescent="0.25">
      <c r="A42" t="s">
        <v>327</v>
      </c>
      <c r="B42">
        <v>-1000</v>
      </c>
      <c r="C42">
        <v>1000</v>
      </c>
    </row>
    <row r="43" spans="1:3" x14ac:dyDescent="0.25">
      <c r="A43" t="s">
        <v>68</v>
      </c>
      <c r="B43">
        <v>-1000</v>
      </c>
      <c r="C43">
        <v>1000</v>
      </c>
    </row>
    <row r="44" spans="1:3" x14ac:dyDescent="0.25">
      <c r="A44" t="s">
        <v>69</v>
      </c>
      <c r="B44">
        <v>-1000</v>
      </c>
      <c r="C44">
        <v>1000</v>
      </c>
    </row>
    <row r="45" spans="1:3" x14ac:dyDescent="0.25">
      <c r="A45" t="s">
        <v>70</v>
      </c>
      <c r="B45">
        <v>0</v>
      </c>
      <c r="C45">
        <v>0</v>
      </c>
    </row>
    <row r="46" spans="1:3" x14ac:dyDescent="0.25">
      <c r="A46" t="s">
        <v>71</v>
      </c>
      <c r="B46">
        <v>-1000</v>
      </c>
      <c r="C46">
        <v>1000</v>
      </c>
    </row>
    <row r="47" spans="1:3" x14ac:dyDescent="0.25">
      <c r="A47" t="s">
        <v>72</v>
      </c>
      <c r="B47">
        <v>-1000</v>
      </c>
      <c r="C47">
        <v>1000</v>
      </c>
    </row>
    <row r="48" spans="1:3" x14ac:dyDescent="0.25">
      <c r="A48" t="s">
        <v>73</v>
      </c>
      <c r="B48">
        <v>-1000</v>
      </c>
      <c r="C48">
        <v>1000</v>
      </c>
    </row>
    <row r="49" spans="1:3" x14ac:dyDescent="0.25">
      <c r="A49" t="s">
        <v>74</v>
      </c>
      <c r="B49">
        <v>-1000</v>
      </c>
      <c r="C49">
        <v>1000</v>
      </c>
    </row>
    <row r="50" spans="1:3" x14ac:dyDescent="0.25">
      <c r="A50" t="s">
        <v>75</v>
      </c>
      <c r="B50">
        <v>-1000</v>
      </c>
      <c r="C50">
        <v>1000</v>
      </c>
    </row>
    <row r="51" spans="1:3" x14ac:dyDescent="0.25">
      <c r="A51" t="s">
        <v>76</v>
      </c>
      <c r="B51">
        <v>-1000</v>
      </c>
      <c r="C51">
        <v>1000</v>
      </c>
    </row>
    <row r="52" spans="1:3" x14ac:dyDescent="0.25">
      <c r="A52" t="s">
        <v>77</v>
      </c>
      <c r="B52">
        <v>-1000</v>
      </c>
      <c r="C52">
        <v>1000</v>
      </c>
    </row>
    <row r="53" spans="1:3" x14ac:dyDescent="0.25">
      <c r="A53" t="s">
        <v>78</v>
      </c>
      <c r="B53">
        <v>-1000</v>
      </c>
      <c r="C53">
        <v>1000</v>
      </c>
    </row>
    <row r="54" spans="1:3" x14ac:dyDescent="0.25">
      <c r="A54" t="s">
        <v>79</v>
      </c>
      <c r="B54">
        <v>-1000</v>
      </c>
      <c r="C54">
        <v>1000</v>
      </c>
    </row>
    <row r="55" spans="1:3" x14ac:dyDescent="0.25">
      <c r="A55" t="s">
        <v>80</v>
      </c>
      <c r="B55">
        <v>-1000</v>
      </c>
      <c r="C55">
        <v>1000</v>
      </c>
    </row>
    <row r="56" spans="1:3" x14ac:dyDescent="0.25">
      <c r="A56" t="s">
        <v>81</v>
      </c>
      <c r="B56">
        <v>-1000</v>
      </c>
      <c r="C56">
        <v>1000</v>
      </c>
    </row>
    <row r="57" spans="1:3" x14ac:dyDescent="0.25">
      <c r="A57" t="s">
        <v>82</v>
      </c>
      <c r="B57">
        <v>-1000</v>
      </c>
      <c r="C57">
        <v>1000</v>
      </c>
    </row>
    <row r="58" spans="1:3" x14ac:dyDescent="0.25">
      <c r="A58" t="s">
        <v>83</v>
      </c>
      <c r="B58">
        <v>-1000</v>
      </c>
      <c r="C58">
        <v>1000</v>
      </c>
    </row>
    <row r="59" spans="1:3" x14ac:dyDescent="0.25">
      <c r="A59" t="s">
        <v>84</v>
      </c>
      <c r="B59">
        <v>-1000</v>
      </c>
      <c r="C59">
        <v>1000</v>
      </c>
    </row>
    <row r="60" spans="1:3" x14ac:dyDescent="0.25">
      <c r="A60" t="s">
        <v>365</v>
      </c>
      <c r="B60">
        <v>0</v>
      </c>
      <c r="C60">
        <v>0</v>
      </c>
    </row>
    <row r="61" spans="1:3" x14ac:dyDescent="0.25">
      <c r="A61" t="s">
        <v>328</v>
      </c>
      <c r="B61">
        <v>-1000</v>
      </c>
      <c r="C61">
        <v>1000</v>
      </c>
    </row>
    <row r="62" spans="1:3" x14ac:dyDescent="0.25">
      <c r="A62" t="s">
        <v>85</v>
      </c>
      <c r="B62">
        <v>-1000</v>
      </c>
      <c r="C62">
        <v>1000</v>
      </c>
    </row>
    <row r="63" spans="1:3" x14ac:dyDescent="0.25">
      <c r="A63" t="s">
        <v>86</v>
      </c>
      <c r="B63">
        <v>-1000</v>
      </c>
      <c r="C63">
        <v>1000</v>
      </c>
    </row>
    <row r="64" spans="1:3" x14ac:dyDescent="0.25">
      <c r="A64" t="s">
        <v>87</v>
      </c>
      <c r="B64">
        <v>-1000</v>
      </c>
      <c r="C64">
        <v>1000</v>
      </c>
    </row>
    <row r="65" spans="1:3" x14ac:dyDescent="0.25">
      <c r="A65" t="s">
        <v>88</v>
      </c>
      <c r="B65">
        <v>-1000</v>
      </c>
      <c r="C65">
        <v>1000</v>
      </c>
    </row>
    <row r="66" spans="1:3" x14ac:dyDescent="0.25">
      <c r="A66" t="s">
        <v>89</v>
      </c>
      <c r="B66">
        <v>-1000</v>
      </c>
      <c r="C66">
        <v>1000</v>
      </c>
    </row>
    <row r="67" spans="1:3" x14ac:dyDescent="0.25">
      <c r="A67" t="s">
        <v>90</v>
      </c>
      <c r="B67">
        <v>0</v>
      </c>
      <c r="C67">
        <v>1000</v>
      </c>
    </row>
    <row r="68" spans="1:3" x14ac:dyDescent="0.25">
      <c r="A68" t="s">
        <v>329</v>
      </c>
      <c r="B68">
        <v>-1000</v>
      </c>
      <c r="C68">
        <v>1000</v>
      </c>
    </row>
    <row r="69" spans="1:3" x14ac:dyDescent="0.25">
      <c r="A69" t="s">
        <v>91</v>
      </c>
      <c r="B69">
        <v>-1000</v>
      </c>
      <c r="C69">
        <v>1000</v>
      </c>
    </row>
    <row r="70" spans="1:3" x14ac:dyDescent="0.25">
      <c r="A70" t="s">
        <v>92</v>
      </c>
      <c r="B70">
        <v>-1000</v>
      </c>
      <c r="C70">
        <v>1000</v>
      </c>
    </row>
    <row r="71" spans="1:3" x14ac:dyDescent="0.25">
      <c r="A71" t="s">
        <v>93</v>
      </c>
      <c r="B71">
        <v>-1000</v>
      </c>
      <c r="C71">
        <v>1000</v>
      </c>
    </row>
    <row r="72" spans="1:3" x14ac:dyDescent="0.25">
      <c r="A72" t="s">
        <v>94</v>
      </c>
      <c r="B72">
        <v>-1000</v>
      </c>
      <c r="C72">
        <v>1000</v>
      </c>
    </row>
    <row r="73" spans="1:3" x14ac:dyDescent="0.25">
      <c r="A73" t="s">
        <v>330</v>
      </c>
      <c r="B73">
        <v>0</v>
      </c>
      <c r="C73">
        <v>1000</v>
      </c>
    </row>
    <row r="74" spans="1:3" x14ac:dyDescent="0.25">
      <c r="A74" t="s">
        <v>95</v>
      </c>
      <c r="B74">
        <v>-1000</v>
      </c>
      <c r="C74">
        <v>1000</v>
      </c>
    </row>
    <row r="75" spans="1:3" x14ac:dyDescent="0.25">
      <c r="A75" t="s">
        <v>331</v>
      </c>
      <c r="B75">
        <v>-1000</v>
      </c>
      <c r="C75">
        <v>1000</v>
      </c>
    </row>
    <row r="76" spans="1:3" x14ac:dyDescent="0.25">
      <c r="A76" t="s">
        <v>96</v>
      </c>
      <c r="B76">
        <v>-1000</v>
      </c>
      <c r="C76">
        <v>1000</v>
      </c>
    </row>
    <row r="77" spans="1:3" x14ac:dyDescent="0.25">
      <c r="A77" t="s">
        <v>97</v>
      </c>
      <c r="B77">
        <v>-1000</v>
      </c>
      <c r="C77">
        <v>1000</v>
      </c>
    </row>
    <row r="78" spans="1:3" x14ac:dyDescent="0.25">
      <c r="A78" t="s">
        <v>98</v>
      </c>
      <c r="B78">
        <v>-1000</v>
      </c>
      <c r="C78">
        <v>1000</v>
      </c>
    </row>
    <row r="79" spans="1:3" x14ac:dyDescent="0.25">
      <c r="A79" t="s">
        <v>99</v>
      </c>
      <c r="B79">
        <v>-1000</v>
      </c>
      <c r="C79">
        <v>1000</v>
      </c>
    </row>
    <row r="80" spans="1:3" x14ac:dyDescent="0.25">
      <c r="A80" t="s">
        <v>100</v>
      </c>
      <c r="B80">
        <v>-1000</v>
      </c>
      <c r="C80">
        <v>1000</v>
      </c>
    </row>
    <row r="81" spans="1:3" x14ac:dyDescent="0.25">
      <c r="A81" t="s">
        <v>101</v>
      </c>
      <c r="B81">
        <v>-1000</v>
      </c>
      <c r="C81">
        <v>1000</v>
      </c>
    </row>
    <row r="82" spans="1:3" x14ac:dyDescent="0.25">
      <c r="A82" t="s">
        <v>102</v>
      </c>
      <c r="B82">
        <v>-1000</v>
      </c>
      <c r="C82">
        <v>1000</v>
      </c>
    </row>
    <row r="83" spans="1:3" x14ac:dyDescent="0.25">
      <c r="A83" t="s">
        <v>103</v>
      </c>
      <c r="B83">
        <v>-1000</v>
      </c>
      <c r="C83">
        <v>1000</v>
      </c>
    </row>
    <row r="84" spans="1:3" x14ac:dyDescent="0.25">
      <c r="A84" t="s">
        <v>104</v>
      </c>
      <c r="B84">
        <v>-1000</v>
      </c>
      <c r="C84">
        <v>1000</v>
      </c>
    </row>
    <row r="85" spans="1:3" x14ac:dyDescent="0.25">
      <c r="A85" t="s">
        <v>105</v>
      </c>
      <c r="B85">
        <v>-1000</v>
      </c>
      <c r="C85">
        <v>1000</v>
      </c>
    </row>
    <row r="86" spans="1:3" x14ac:dyDescent="0.25">
      <c r="A86" t="s">
        <v>106</v>
      </c>
      <c r="B86">
        <v>-1000</v>
      </c>
      <c r="C86">
        <v>1000</v>
      </c>
    </row>
    <row r="87" spans="1:3" x14ac:dyDescent="0.25">
      <c r="A87" t="s">
        <v>107</v>
      </c>
      <c r="B87">
        <v>-1000</v>
      </c>
      <c r="C87">
        <v>1000</v>
      </c>
    </row>
    <row r="88" spans="1:3" x14ac:dyDescent="0.25">
      <c r="A88" t="s">
        <v>108</v>
      </c>
      <c r="B88">
        <v>-1000</v>
      </c>
      <c r="C88">
        <v>1000</v>
      </c>
    </row>
    <row r="89" spans="1:3" x14ac:dyDescent="0.25">
      <c r="A89" t="s">
        <v>109</v>
      </c>
      <c r="B89">
        <v>-1000</v>
      </c>
      <c r="C89">
        <v>1000</v>
      </c>
    </row>
    <row r="90" spans="1:3" x14ac:dyDescent="0.25">
      <c r="A90" t="s">
        <v>110</v>
      </c>
      <c r="B90">
        <v>-1000</v>
      </c>
      <c r="C90">
        <v>1000</v>
      </c>
    </row>
    <row r="91" spans="1:3" x14ac:dyDescent="0.25">
      <c r="A91" t="s">
        <v>111</v>
      </c>
      <c r="B91">
        <v>-1000</v>
      </c>
      <c r="C91">
        <v>1000</v>
      </c>
    </row>
    <row r="92" spans="1:3" x14ac:dyDescent="0.25">
      <c r="A92" t="s">
        <v>112</v>
      </c>
      <c r="B92">
        <v>-1000</v>
      </c>
      <c r="C92">
        <v>1000</v>
      </c>
    </row>
    <row r="93" spans="1:3" x14ac:dyDescent="0.25">
      <c r="A93" t="s">
        <v>113</v>
      </c>
      <c r="B93">
        <v>-1000</v>
      </c>
      <c r="C93">
        <v>1000</v>
      </c>
    </row>
    <row r="94" spans="1:3" x14ac:dyDescent="0.25">
      <c r="A94" t="s">
        <v>114</v>
      </c>
      <c r="B94">
        <v>-1000</v>
      </c>
      <c r="C94">
        <v>1000</v>
      </c>
    </row>
    <row r="95" spans="1:3" x14ac:dyDescent="0.25">
      <c r="A95" t="s">
        <v>115</v>
      </c>
      <c r="B95">
        <v>-1000</v>
      </c>
      <c r="C95">
        <v>1000</v>
      </c>
    </row>
    <row r="96" spans="1:3" x14ac:dyDescent="0.25">
      <c r="A96" t="s">
        <v>116</v>
      </c>
      <c r="B96">
        <v>-1000</v>
      </c>
      <c r="C96">
        <v>1000</v>
      </c>
    </row>
    <row r="97" spans="1:3" x14ac:dyDescent="0.25">
      <c r="A97" t="s">
        <v>117</v>
      </c>
      <c r="B97">
        <v>-1000</v>
      </c>
      <c r="C97">
        <v>1000</v>
      </c>
    </row>
    <row r="98" spans="1:3" x14ac:dyDescent="0.25">
      <c r="A98" t="s">
        <v>118</v>
      </c>
      <c r="B98">
        <v>-1000</v>
      </c>
      <c r="C98">
        <v>1000</v>
      </c>
    </row>
    <row r="99" spans="1:3" x14ac:dyDescent="0.25">
      <c r="A99" t="s">
        <v>119</v>
      </c>
      <c r="B99">
        <v>-1000</v>
      </c>
      <c r="C99">
        <v>1000</v>
      </c>
    </row>
    <row r="100" spans="1:3" x14ac:dyDescent="0.25">
      <c r="A100" t="s">
        <v>120</v>
      </c>
      <c r="B100">
        <v>-1000</v>
      </c>
      <c r="C100">
        <v>1000</v>
      </c>
    </row>
    <row r="101" spans="1:3" x14ac:dyDescent="0.25">
      <c r="A101" t="s">
        <v>121</v>
      </c>
      <c r="B101">
        <v>-1000</v>
      </c>
      <c r="C101">
        <v>1000</v>
      </c>
    </row>
    <row r="102" spans="1:3" x14ac:dyDescent="0.25">
      <c r="A102" t="s">
        <v>122</v>
      </c>
      <c r="B102">
        <v>-1000</v>
      </c>
      <c r="C102">
        <v>1000</v>
      </c>
    </row>
    <row r="103" spans="1:3" x14ac:dyDescent="0.25">
      <c r="A103" t="s">
        <v>123</v>
      </c>
      <c r="B103">
        <v>-1000</v>
      </c>
      <c r="C103">
        <v>1000</v>
      </c>
    </row>
    <row r="104" spans="1:3" x14ac:dyDescent="0.25">
      <c r="A104" t="s">
        <v>124</v>
      </c>
      <c r="B104">
        <v>-1000</v>
      </c>
      <c r="C104">
        <v>1000</v>
      </c>
    </row>
    <row r="105" spans="1:3" x14ac:dyDescent="0.25">
      <c r="A105" t="s">
        <v>332</v>
      </c>
      <c r="B105">
        <v>-1000</v>
      </c>
      <c r="C105">
        <v>1000</v>
      </c>
    </row>
    <row r="106" spans="1:3" x14ac:dyDescent="0.25">
      <c r="A106" t="s">
        <v>333</v>
      </c>
      <c r="B106">
        <v>-1000</v>
      </c>
      <c r="C106">
        <v>1000</v>
      </c>
    </row>
    <row r="107" spans="1:3" x14ac:dyDescent="0.25">
      <c r="A107" t="s">
        <v>125</v>
      </c>
      <c r="B107">
        <v>-1000</v>
      </c>
      <c r="C107">
        <v>1000</v>
      </c>
    </row>
    <row r="108" spans="1:3" x14ac:dyDescent="0.25">
      <c r="A108" t="s">
        <v>126</v>
      </c>
      <c r="B108">
        <v>-1000</v>
      </c>
      <c r="C108">
        <v>1000</v>
      </c>
    </row>
    <row r="109" spans="1:3" x14ac:dyDescent="0.25">
      <c r="A109" t="s">
        <v>127</v>
      </c>
      <c r="B109">
        <v>-1000</v>
      </c>
      <c r="C109">
        <v>1000</v>
      </c>
    </row>
    <row r="110" spans="1:3" x14ac:dyDescent="0.25">
      <c r="A110" t="s">
        <v>128</v>
      </c>
      <c r="B110">
        <v>-1000</v>
      </c>
      <c r="C110">
        <v>1000</v>
      </c>
    </row>
    <row r="111" spans="1:3" x14ac:dyDescent="0.25">
      <c r="A111" t="s">
        <v>129</v>
      </c>
      <c r="B111">
        <v>-1000</v>
      </c>
      <c r="C111">
        <v>1000</v>
      </c>
    </row>
    <row r="112" spans="1:3" x14ac:dyDescent="0.25">
      <c r="A112" t="s">
        <v>130</v>
      </c>
      <c r="B112">
        <v>-1000</v>
      </c>
      <c r="C112">
        <v>1000</v>
      </c>
    </row>
    <row r="113" spans="1:3" x14ac:dyDescent="0.25">
      <c r="A113" t="s">
        <v>364</v>
      </c>
      <c r="B113">
        <v>-1000</v>
      </c>
      <c r="C113">
        <v>1000</v>
      </c>
    </row>
    <row r="114" spans="1:3" x14ac:dyDescent="0.25">
      <c r="A114" t="s">
        <v>131</v>
      </c>
      <c r="B114">
        <v>-1000</v>
      </c>
      <c r="C114">
        <v>1000</v>
      </c>
    </row>
    <row r="115" spans="1:3" x14ac:dyDescent="0.25">
      <c r="A115" t="s">
        <v>132</v>
      </c>
      <c r="B115">
        <v>-1000</v>
      </c>
      <c r="C115">
        <v>1000</v>
      </c>
    </row>
    <row r="116" spans="1:3" x14ac:dyDescent="0.25">
      <c r="A116" t="s">
        <v>334</v>
      </c>
      <c r="B116">
        <v>-1000</v>
      </c>
      <c r="C116">
        <v>1000</v>
      </c>
    </row>
    <row r="117" spans="1:3" x14ac:dyDescent="0.25">
      <c r="A117" t="s">
        <v>133</v>
      </c>
      <c r="B117">
        <v>-1000</v>
      </c>
      <c r="C117">
        <v>1000</v>
      </c>
    </row>
    <row r="118" spans="1:3" x14ac:dyDescent="0.25">
      <c r="A118" t="s">
        <v>135</v>
      </c>
      <c r="B118">
        <v>-1000</v>
      </c>
      <c r="C118">
        <v>1000</v>
      </c>
    </row>
    <row r="119" spans="1:3" x14ac:dyDescent="0.25">
      <c r="A119" t="s">
        <v>136</v>
      </c>
      <c r="B119">
        <v>-1000</v>
      </c>
      <c r="C119">
        <v>1000</v>
      </c>
    </row>
    <row r="120" spans="1:3" x14ac:dyDescent="0.25">
      <c r="A120" t="s">
        <v>137</v>
      </c>
      <c r="B120">
        <v>-1000</v>
      </c>
      <c r="C120">
        <v>1000</v>
      </c>
    </row>
    <row r="121" spans="1:3" x14ac:dyDescent="0.25">
      <c r="A121" t="s">
        <v>138</v>
      </c>
      <c r="B121">
        <v>-1000</v>
      </c>
      <c r="C121">
        <v>1000</v>
      </c>
    </row>
    <row r="122" spans="1:3" x14ac:dyDescent="0.25">
      <c r="A122" t="s">
        <v>139</v>
      </c>
      <c r="B122">
        <v>-1000</v>
      </c>
      <c r="C122">
        <v>1000</v>
      </c>
    </row>
    <row r="123" spans="1:3" x14ac:dyDescent="0.25">
      <c r="A123" t="s">
        <v>140</v>
      </c>
      <c r="B123">
        <v>-1000</v>
      </c>
      <c r="C123">
        <v>1000</v>
      </c>
    </row>
    <row r="124" spans="1:3" x14ac:dyDescent="0.25">
      <c r="A124" t="s">
        <v>141</v>
      </c>
      <c r="B124">
        <v>-1000</v>
      </c>
      <c r="C124">
        <v>1000</v>
      </c>
    </row>
    <row r="125" spans="1:3" x14ac:dyDescent="0.25">
      <c r="A125" t="s">
        <v>142</v>
      </c>
      <c r="B125">
        <v>-1000</v>
      </c>
      <c r="C125">
        <v>1000</v>
      </c>
    </row>
    <row r="126" spans="1:3" x14ac:dyDescent="0.25">
      <c r="A126" t="s">
        <v>367</v>
      </c>
      <c r="B126">
        <v>0</v>
      </c>
      <c r="C126">
        <v>1000</v>
      </c>
    </row>
    <row r="127" spans="1:3" x14ac:dyDescent="0.25">
      <c r="A127" t="s">
        <v>368</v>
      </c>
      <c r="B127">
        <v>0</v>
      </c>
      <c r="C127">
        <v>0</v>
      </c>
    </row>
    <row r="128" spans="1:3" x14ac:dyDescent="0.25">
      <c r="A128" t="s">
        <v>143</v>
      </c>
      <c r="B128">
        <v>-1000</v>
      </c>
      <c r="C128">
        <v>1000</v>
      </c>
    </row>
    <row r="129" spans="1:3" x14ac:dyDescent="0.25">
      <c r="A129" t="s">
        <v>366</v>
      </c>
      <c r="B129">
        <v>0</v>
      </c>
      <c r="C129">
        <v>0</v>
      </c>
    </row>
    <row r="130" spans="1:3" x14ac:dyDescent="0.25">
      <c r="A130" t="s">
        <v>145</v>
      </c>
      <c r="B130">
        <v>-1000</v>
      </c>
      <c r="C130">
        <v>1000</v>
      </c>
    </row>
    <row r="131" spans="1:3" x14ac:dyDescent="0.25">
      <c r="A131" t="s">
        <v>146</v>
      </c>
      <c r="B131">
        <v>0</v>
      </c>
      <c r="C131">
        <v>1000</v>
      </c>
    </row>
    <row r="132" spans="1:3" x14ac:dyDescent="0.25">
      <c r="A132" t="s">
        <v>147</v>
      </c>
      <c r="B132">
        <v>0</v>
      </c>
      <c r="C132">
        <v>1000</v>
      </c>
    </row>
    <row r="133" spans="1:3" x14ac:dyDescent="0.25">
      <c r="A133" t="s">
        <v>148</v>
      </c>
      <c r="B133">
        <v>-1000</v>
      </c>
      <c r="C133">
        <v>1000</v>
      </c>
    </row>
    <row r="134" spans="1:3" x14ac:dyDescent="0.25">
      <c r="A134" t="s">
        <v>149</v>
      </c>
      <c r="B134">
        <v>-1000</v>
      </c>
      <c r="C134">
        <v>1000</v>
      </c>
    </row>
    <row r="135" spans="1:3" x14ac:dyDescent="0.25">
      <c r="A135" t="s">
        <v>361</v>
      </c>
      <c r="B135">
        <v>0</v>
      </c>
      <c r="C135">
        <v>1000</v>
      </c>
    </row>
    <row r="136" spans="1:3" x14ac:dyDescent="0.25">
      <c r="A136" t="s">
        <v>362</v>
      </c>
      <c r="B136">
        <v>0</v>
      </c>
      <c r="C136">
        <v>1000</v>
      </c>
    </row>
    <row r="137" spans="1:3" x14ac:dyDescent="0.25">
      <c r="A137" t="s">
        <v>151</v>
      </c>
      <c r="B137">
        <v>-1000</v>
      </c>
      <c r="C137">
        <v>1000</v>
      </c>
    </row>
    <row r="138" spans="1:3" x14ac:dyDescent="0.25">
      <c r="A138" t="s">
        <v>152</v>
      </c>
      <c r="B138">
        <v>-1000</v>
      </c>
      <c r="C138">
        <v>1000</v>
      </c>
    </row>
    <row r="139" spans="1:3" x14ac:dyDescent="0.25">
      <c r="A139" t="s">
        <v>153</v>
      </c>
      <c r="B139">
        <v>-1000</v>
      </c>
      <c r="C139">
        <v>1000</v>
      </c>
    </row>
    <row r="140" spans="1:3" x14ac:dyDescent="0.25">
      <c r="A140" t="s">
        <v>154</v>
      </c>
      <c r="B140">
        <v>-1000</v>
      </c>
      <c r="C140">
        <v>1000</v>
      </c>
    </row>
    <row r="141" spans="1:3" x14ac:dyDescent="0.25">
      <c r="A141" t="s">
        <v>144</v>
      </c>
      <c r="B141">
        <v>0</v>
      </c>
      <c r="C141">
        <v>1000</v>
      </c>
    </row>
    <row r="142" spans="1:3" x14ac:dyDescent="0.25">
      <c r="A142" t="s">
        <v>155</v>
      </c>
      <c r="B142">
        <v>-1000</v>
      </c>
      <c r="C142">
        <v>1000</v>
      </c>
    </row>
    <row r="143" spans="1:3" x14ac:dyDescent="0.25">
      <c r="A143" t="s">
        <v>156</v>
      </c>
      <c r="B143">
        <v>-1000</v>
      </c>
      <c r="C143">
        <v>1000</v>
      </c>
    </row>
    <row r="144" spans="1:3" x14ac:dyDescent="0.25">
      <c r="A144" t="s">
        <v>157</v>
      </c>
      <c r="B144">
        <v>-1000</v>
      </c>
      <c r="C144">
        <v>1000</v>
      </c>
    </row>
    <row r="145" spans="1:3" x14ac:dyDescent="0.25">
      <c r="A145" t="s">
        <v>158</v>
      </c>
      <c r="B145">
        <v>-1000</v>
      </c>
      <c r="C145">
        <v>1000</v>
      </c>
    </row>
    <row r="146" spans="1:3" x14ac:dyDescent="0.25">
      <c r="A146" t="s">
        <v>159</v>
      </c>
      <c r="B146">
        <v>-1000</v>
      </c>
      <c r="C146">
        <v>1000</v>
      </c>
    </row>
    <row r="147" spans="1:3" x14ac:dyDescent="0.25">
      <c r="A147" t="s">
        <v>385</v>
      </c>
      <c r="B147">
        <v>-1000</v>
      </c>
      <c r="C147">
        <v>1000</v>
      </c>
    </row>
    <row r="148" spans="1:3" x14ac:dyDescent="0.25">
      <c r="A148" t="s">
        <v>160</v>
      </c>
      <c r="B148">
        <v>-1000</v>
      </c>
      <c r="C148">
        <v>1000</v>
      </c>
    </row>
    <row r="149" spans="1:3" x14ac:dyDescent="0.25">
      <c r="A149" t="s">
        <v>161</v>
      </c>
      <c r="B149">
        <v>-1000</v>
      </c>
      <c r="C149">
        <v>1000</v>
      </c>
    </row>
    <row r="150" spans="1:3" x14ac:dyDescent="0.25">
      <c r="A150" t="s">
        <v>162</v>
      </c>
      <c r="B150">
        <v>-1000</v>
      </c>
      <c r="C150">
        <v>1000</v>
      </c>
    </row>
    <row r="151" spans="1:3" x14ac:dyDescent="0.25">
      <c r="A151" t="s">
        <v>163</v>
      </c>
      <c r="B151">
        <v>-1000</v>
      </c>
      <c r="C151">
        <v>1000</v>
      </c>
    </row>
    <row r="152" spans="1:3" x14ac:dyDescent="0.25">
      <c r="A152" t="s">
        <v>164</v>
      </c>
      <c r="B152">
        <v>-1000</v>
      </c>
      <c r="C152">
        <v>1000</v>
      </c>
    </row>
    <row r="153" spans="1:3" x14ac:dyDescent="0.25">
      <c r="A153" t="s">
        <v>165</v>
      </c>
      <c r="B153">
        <v>-1000</v>
      </c>
      <c r="C153">
        <v>1000</v>
      </c>
    </row>
    <row r="154" spans="1:3" x14ac:dyDescent="0.25">
      <c r="A154" t="s">
        <v>166</v>
      </c>
      <c r="B154">
        <v>-1000</v>
      </c>
      <c r="C154">
        <v>1000</v>
      </c>
    </row>
    <row r="155" spans="1:3" x14ac:dyDescent="0.25">
      <c r="A155" t="s">
        <v>167</v>
      </c>
      <c r="B155">
        <v>-1000</v>
      </c>
      <c r="C155">
        <v>1000</v>
      </c>
    </row>
    <row r="156" spans="1:3" x14ac:dyDescent="0.25">
      <c r="A156" t="s">
        <v>335</v>
      </c>
      <c r="B156">
        <v>-1000</v>
      </c>
      <c r="C156">
        <v>1000</v>
      </c>
    </row>
    <row r="157" spans="1:3" x14ac:dyDescent="0.25">
      <c r="A157" t="s">
        <v>168</v>
      </c>
      <c r="B157">
        <v>-1000</v>
      </c>
      <c r="C157">
        <v>1000</v>
      </c>
    </row>
    <row r="158" spans="1:3" x14ac:dyDescent="0.25">
      <c r="A158" t="s">
        <v>169</v>
      </c>
      <c r="B158">
        <v>-1000</v>
      </c>
      <c r="C158">
        <v>1000</v>
      </c>
    </row>
    <row r="159" spans="1:3" x14ac:dyDescent="0.25">
      <c r="A159" t="s">
        <v>170</v>
      </c>
      <c r="B159">
        <v>-1000</v>
      </c>
      <c r="C159">
        <v>1000</v>
      </c>
    </row>
    <row r="160" spans="1:3" x14ac:dyDescent="0.25">
      <c r="A160" t="s">
        <v>171</v>
      </c>
      <c r="B160">
        <v>-1000</v>
      </c>
      <c r="C160">
        <v>1000</v>
      </c>
    </row>
    <row r="161" spans="1:3" x14ac:dyDescent="0.25">
      <c r="A161" t="s">
        <v>173</v>
      </c>
      <c r="B161">
        <v>-1000</v>
      </c>
      <c r="C161">
        <v>1000</v>
      </c>
    </row>
    <row r="162" spans="1:3" x14ac:dyDescent="0.25">
      <c r="A162" t="s">
        <v>174</v>
      </c>
      <c r="B162">
        <v>-1000</v>
      </c>
      <c r="C162">
        <v>1000</v>
      </c>
    </row>
    <row r="163" spans="1:3" x14ac:dyDescent="0.25">
      <c r="A163" t="s">
        <v>175</v>
      </c>
      <c r="B163">
        <v>-1000</v>
      </c>
      <c r="C163">
        <v>1000</v>
      </c>
    </row>
    <row r="164" spans="1:3" x14ac:dyDescent="0.25">
      <c r="A164" t="s">
        <v>435</v>
      </c>
      <c r="B164">
        <v>-1000</v>
      </c>
      <c r="C164">
        <v>1000</v>
      </c>
    </row>
    <row r="165" spans="1:3" x14ac:dyDescent="0.25">
      <c r="A165" t="s">
        <v>176</v>
      </c>
      <c r="B165">
        <v>-1000</v>
      </c>
      <c r="C165">
        <v>1000</v>
      </c>
    </row>
    <row r="166" spans="1:3" x14ac:dyDescent="0.25">
      <c r="A166" t="s">
        <v>177</v>
      </c>
      <c r="B166">
        <v>-1000</v>
      </c>
      <c r="C166">
        <v>1000</v>
      </c>
    </row>
    <row r="167" spans="1:3" x14ac:dyDescent="0.25">
      <c r="A167" t="s">
        <v>363</v>
      </c>
      <c r="B167">
        <v>0</v>
      </c>
      <c r="C167">
        <v>0</v>
      </c>
    </row>
    <row r="168" spans="1:3" x14ac:dyDescent="0.25">
      <c r="A168" t="s">
        <v>336</v>
      </c>
      <c r="B168">
        <v>-1000</v>
      </c>
      <c r="C168">
        <v>1000</v>
      </c>
    </row>
    <row r="169" spans="1:3" x14ac:dyDescent="0.25">
      <c r="A169" t="s">
        <v>360</v>
      </c>
      <c r="B169">
        <v>100</v>
      </c>
      <c r="C169">
        <v>100</v>
      </c>
    </row>
    <row r="170" spans="1:3" x14ac:dyDescent="0.25">
      <c r="A170" t="s">
        <v>178</v>
      </c>
      <c r="B170">
        <f>val!C7</f>
        <v>194.96583861362987</v>
      </c>
      <c r="C170">
        <f>val!C7</f>
        <v>194.96583861362987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71EDA-880F-4C1B-BD69-718DEDF30122}">
  <dimension ref="A1:C170"/>
  <sheetViews>
    <sheetView topLeftCell="A28" workbookViewId="0">
      <selection activeCell="A37" sqref="A37"/>
    </sheetView>
  </sheetViews>
  <sheetFormatPr defaultRowHeight="15" x14ac:dyDescent="0.25"/>
  <cols>
    <col min="1" max="1" width="18.5703125" bestFit="1" customWidth="1"/>
  </cols>
  <sheetData>
    <row r="1" spans="1:3" x14ac:dyDescent="0.25">
      <c r="A1" t="s">
        <v>5</v>
      </c>
      <c r="B1" t="s">
        <v>352</v>
      </c>
      <c r="C1" t="s">
        <v>353</v>
      </c>
    </row>
    <row r="2" spans="1:3" x14ac:dyDescent="0.25">
      <c r="A2" t="s">
        <v>39</v>
      </c>
      <c r="B2">
        <v>-1000</v>
      </c>
      <c r="C2">
        <v>1000</v>
      </c>
    </row>
    <row r="3" spans="1:3" x14ac:dyDescent="0.25">
      <c r="A3" t="s">
        <v>359</v>
      </c>
      <c r="B3">
        <v>0</v>
      </c>
      <c r="C3">
        <v>0</v>
      </c>
    </row>
    <row r="4" spans="1:3" x14ac:dyDescent="0.25">
      <c r="A4" t="s">
        <v>386</v>
      </c>
      <c r="B4">
        <v>-1000</v>
      </c>
      <c r="C4">
        <v>1000</v>
      </c>
    </row>
    <row r="5" spans="1:3" x14ac:dyDescent="0.25">
      <c r="A5" t="s">
        <v>358</v>
      </c>
      <c r="B5">
        <v>0</v>
      </c>
      <c r="C5">
        <v>0</v>
      </c>
    </row>
    <row r="6" spans="1:3" x14ac:dyDescent="0.25">
      <c r="A6" t="s">
        <v>40</v>
      </c>
      <c r="B6">
        <v>-1000</v>
      </c>
      <c r="C6">
        <v>1000</v>
      </c>
    </row>
    <row r="7" spans="1:3" x14ac:dyDescent="0.25">
      <c r="A7" t="s">
        <v>41</v>
      </c>
      <c r="B7">
        <v>-1000</v>
      </c>
      <c r="C7">
        <v>1000</v>
      </c>
    </row>
    <row r="8" spans="1:3" x14ac:dyDescent="0.25">
      <c r="A8" t="s">
        <v>42</v>
      </c>
      <c r="B8">
        <v>-1000</v>
      </c>
      <c r="C8">
        <v>1000</v>
      </c>
    </row>
    <row r="9" spans="1:3" x14ac:dyDescent="0.25">
      <c r="A9" t="s">
        <v>43</v>
      </c>
      <c r="B9">
        <v>-1000</v>
      </c>
      <c r="C9">
        <v>1000</v>
      </c>
    </row>
    <row r="10" spans="1:3" x14ac:dyDescent="0.25">
      <c r="A10" t="s">
        <v>44</v>
      </c>
      <c r="B10">
        <v>-1000</v>
      </c>
      <c r="C10">
        <v>1000</v>
      </c>
    </row>
    <row r="11" spans="1:3" x14ac:dyDescent="0.25">
      <c r="A11" t="s">
        <v>45</v>
      </c>
      <c r="B11">
        <v>0</v>
      </c>
      <c r="C11">
        <v>0</v>
      </c>
    </row>
    <row r="12" spans="1:3" x14ac:dyDescent="0.25">
      <c r="A12" t="s">
        <v>324</v>
      </c>
      <c r="B12">
        <v>0</v>
      </c>
      <c r="C12">
        <v>1000</v>
      </c>
    </row>
    <row r="13" spans="1:3" x14ac:dyDescent="0.25">
      <c r="A13" t="s">
        <v>371</v>
      </c>
      <c r="B13">
        <v>-1000</v>
      </c>
      <c r="C13">
        <v>1000</v>
      </c>
    </row>
    <row r="14" spans="1:3" x14ac:dyDescent="0.25">
      <c r="A14" t="s">
        <v>371</v>
      </c>
      <c r="B14">
        <v>-1000</v>
      </c>
      <c r="C14">
        <v>1000</v>
      </c>
    </row>
    <row r="15" spans="1:3" x14ac:dyDescent="0.25">
      <c r="A15" t="s">
        <v>46</v>
      </c>
      <c r="B15">
        <v>-1000</v>
      </c>
      <c r="C15">
        <v>1000</v>
      </c>
    </row>
    <row r="16" spans="1:3" x14ac:dyDescent="0.25">
      <c r="A16" t="s">
        <v>47</v>
      </c>
      <c r="B16">
        <v>-1000</v>
      </c>
      <c r="C16">
        <v>1000</v>
      </c>
    </row>
    <row r="17" spans="1:3" x14ac:dyDescent="0.25">
      <c r="A17" t="s">
        <v>48</v>
      </c>
      <c r="B17">
        <v>-1000</v>
      </c>
      <c r="C17">
        <v>1000</v>
      </c>
    </row>
    <row r="18" spans="1:3" x14ac:dyDescent="0.25">
      <c r="A18" t="s">
        <v>49</v>
      </c>
      <c r="B18">
        <v>-1000</v>
      </c>
      <c r="C18">
        <v>1000</v>
      </c>
    </row>
    <row r="19" spans="1:3" x14ac:dyDescent="0.25">
      <c r="A19" t="s">
        <v>50</v>
      </c>
      <c r="B19">
        <v>-1000</v>
      </c>
      <c r="C19">
        <v>1000</v>
      </c>
    </row>
    <row r="20" spans="1:3" x14ac:dyDescent="0.25">
      <c r="A20" t="s">
        <v>51</v>
      </c>
      <c r="B20">
        <v>-1000</v>
      </c>
      <c r="C20">
        <v>1000</v>
      </c>
    </row>
    <row r="21" spans="1:3" x14ac:dyDescent="0.25">
      <c r="A21" t="s">
        <v>52</v>
      </c>
      <c r="B21">
        <v>-1000</v>
      </c>
      <c r="C21">
        <v>1000</v>
      </c>
    </row>
    <row r="22" spans="1:3" x14ac:dyDescent="0.25">
      <c r="A22" t="s">
        <v>53</v>
      </c>
      <c r="B22">
        <v>-1000</v>
      </c>
      <c r="C22">
        <v>1000</v>
      </c>
    </row>
    <row r="23" spans="1:3" x14ac:dyDescent="0.25">
      <c r="A23" t="s">
        <v>54</v>
      </c>
      <c r="B23">
        <v>-1000</v>
      </c>
      <c r="C23">
        <v>1000</v>
      </c>
    </row>
    <row r="24" spans="1:3" x14ac:dyDescent="0.25">
      <c r="A24" t="s">
        <v>55</v>
      </c>
      <c r="B24">
        <v>-1000</v>
      </c>
      <c r="C24">
        <v>1000</v>
      </c>
    </row>
    <row r="25" spans="1:3" x14ac:dyDescent="0.25">
      <c r="A25" t="s">
        <v>56</v>
      </c>
      <c r="B25">
        <v>-1000</v>
      </c>
      <c r="C25">
        <v>1000</v>
      </c>
    </row>
    <row r="26" spans="1:3" x14ac:dyDescent="0.25">
      <c r="A26" t="s">
        <v>57</v>
      </c>
      <c r="B26">
        <v>-1000</v>
      </c>
      <c r="C26">
        <v>1000</v>
      </c>
    </row>
    <row r="27" spans="1:3" x14ac:dyDescent="0.25">
      <c r="A27" t="s">
        <v>58</v>
      </c>
      <c r="B27">
        <v>-1000</v>
      </c>
      <c r="C27">
        <v>1000</v>
      </c>
    </row>
    <row r="28" spans="1:3" x14ac:dyDescent="0.25">
      <c r="A28" t="s">
        <v>59</v>
      </c>
      <c r="B28">
        <v>-1000</v>
      </c>
      <c r="C28">
        <v>1000</v>
      </c>
    </row>
    <row r="29" spans="1:3" x14ac:dyDescent="0.25">
      <c r="A29" t="s">
        <v>325</v>
      </c>
      <c r="B29">
        <v>-1000</v>
      </c>
      <c r="C29">
        <v>1000</v>
      </c>
    </row>
    <row r="30" spans="1:3" x14ac:dyDescent="0.25">
      <c r="A30" t="s">
        <v>60</v>
      </c>
      <c r="B30">
        <v>-1000</v>
      </c>
      <c r="C30">
        <v>1000</v>
      </c>
    </row>
    <row r="31" spans="1:3" x14ac:dyDescent="0.25">
      <c r="A31" t="s">
        <v>61</v>
      </c>
      <c r="B31">
        <v>-1000</v>
      </c>
      <c r="C31">
        <v>1000</v>
      </c>
    </row>
    <row r="32" spans="1:3" x14ac:dyDescent="0.25">
      <c r="A32" t="s">
        <v>62</v>
      </c>
      <c r="B32">
        <v>-1000</v>
      </c>
      <c r="C32">
        <v>1000</v>
      </c>
    </row>
    <row r="33" spans="1:3" x14ac:dyDescent="0.25">
      <c r="A33" t="s">
        <v>63</v>
      </c>
      <c r="B33">
        <v>-1000</v>
      </c>
      <c r="C33">
        <v>1000</v>
      </c>
    </row>
    <row r="34" spans="1:3" x14ac:dyDescent="0.25">
      <c r="A34" t="s">
        <v>64</v>
      </c>
      <c r="B34">
        <v>-1000</v>
      </c>
      <c r="C34">
        <v>1000</v>
      </c>
    </row>
    <row r="35" spans="1:3" x14ac:dyDescent="0.25">
      <c r="A35" t="s">
        <v>65</v>
      </c>
      <c r="B35">
        <v>-1000</v>
      </c>
      <c r="C35">
        <v>1000</v>
      </c>
    </row>
    <row r="36" spans="1:3" x14ac:dyDescent="0.25">
      <c r="A36" t="s">
        <v>66</v>
      </c>
      <c r="B36">
        <v>-1000</v>
      </c>
      <c r="C36">
        <v>1000</v>
      </c>
    </row>
    <row r="37" spans="1:3" x14ac:dyDescent="0.25">
      <c r="A37" t="s">
        <v>442</v>
      </c>
      <c r="B37">
        <v>-1000</v>
      </c>
      <c r="C37">
        <v>1000</v>
      </c>
    </row>
    <row r="38" spans="1:3" x14ac:dyDescent="0.25">
      <c r="A38" t="s">
        <v>438</v>
      </c>
      <c r="B38">
        <v>0</v>
      </c>
      <c r="C38">
        <v>0</v>
      </c>
    </row>
    <row r="39" spans="1:3" x14ac:dyDescent="0.25">
      <c r="A39" t="s">
        <v>326</v>
      </c>
      <c r="B39">
        <v>0</v>
      </c>
      <c r="C39">
        <v>0</v>
      </c>
    </row>
    <row r="40" spans="1:3" x14ac:dyDescent="0.25">
      <c r="A40" t="s">
        <v>369</v>
      </c>
      <c r="B40">
        <v>-1000</v>
      </c>
      <c r="C40">
        <v>1000</v>
      </c>
    </row>
    <row r="41" spans="1:3" x14ac:dyDescent="0.25">
      <c r="A41" t="s">
        <v>67</v>
      </c>
      <c r="B41">
        <v>-1000</v>
      </c>
      <c r="C41">
        <v>1000</v>
      </c>
    </row>
    <row r="42" spans="1:3" x14ac:dyDescent="0.25">
      <c r="A42" t="s">
        <v>327</v>
      </c>
      <c r="B42">
        <v>-1000</v>
      </c>
      <c r="C42">
        <v>1000</v>
      </c>
    </row>
    <row r="43" spans="1:3" x14ac:dyDescent="0.25">
      <c r="A43" t="s">
        <v>68</v>
      </c>
      <c r="B43">
        <v>-1000</v>
      </c>
      <c r="C43">
        <v>1000</v>
      </c>
    </row>
    <row r="44" spans="1:3" x14ac:dyDescent="0.25">
      <c r="A44" t="s">
        <v>69</v>
      </c>
      <c r="B44">
        <v>-1000</v>
      </c>
      <c r="C44">
        <v>1000</v>
      </c>
    </row>
    <row r="45" spans="1:3" x14ac:dyDescent="0.25">
      <c r="A45" t="s">
        <v>70</v>
      </c>
      <c r="B45">
        <v>0</v>
      </c>
      <c r="C45">
        <v>0</v>
      </c>
    </row>
    <row r="46" spans="1:3" x14ac:dyDescent="0.25">
      <c r="A46" t="s">
        <v>71</v>
      </c>
      <c r="B46">
        <v>-1000</v>
      </c>
      <c r="C46">
        <v>1000</v>
      </c>
    </row>
    <row r="47" spans="1:3" x14ac:dyDescent="0.25">
      <c r="A47" t="s">
        <v>72</v>
      </c>
      <c r="B47">
        <v>-1000</v>
      </c>
      <c r="C47">
        <v>1000</v>
      </c>
    </row>
    <row r="48" spans="1:3" x14ac:dyDescent="0.25">
      <c r="A48" t="s">
        <v>73</v>
      </c>
      <c r="B48">
        <v>-1000</v>
      </c>
      <c r="C48">
        <v>1000</v>
      </c>
    </row>
    <row r="49" spans="1:3" x14ac:dyDescent="0.25">
      <c r="A49" t="s">
        <v>74</v>
      </c>
      <c r="B49">
        <v>-1000</v>
      </c>
      <c r="C49">
        <v>1000</v>
      </c>
    </row>
    <row r="50" spans="1:3" x14ac:dyDescent="0.25">
      <c r="A50" t="s">
        <v>75</v>
      </c>
      <c r="B50">
        <v>-1000</v>
      </c>
      <c r="C50">
        <v>1000</v>
      </c>
    </row>
    <row r="51" spans="1:3" x14ac:dyDescent="0.25">
      <c r="A51" t="s">
        <v>76</v>
      </c>
      <c r="B51">
        <v>-1000</v>
      </c>
      <c r="C51">
        <v>1000</v>
      </c>
    </row>
    <row r="52" spans="1:3" x14ac:dyDescent="0.25">
      <c r="A52" t="s">
        <v>77</v>
      </c>
      <c r="B52">
        <v>-1000</v>
      </c>
      <c r="C52">
        <v>1000</v>
      </c>
    </row>
    <row r="53" spans="1:3" x14ac:dyDescent="0.25">
      <c r="A53" t="s">
        <v>78</v>
      </c>
      <c r="B53">
        <v>-1000</v>
      </c>
      <c r="C53">
        <v>1000</v>
      </c>
    </row>
    <row r="54" spans="1:3" x14ac:dyDescent="0.25">
      <c r="A54" t="s">
        <v>79</v>
      </c>
      <c r="B54">
        <v>-1000</v>
      </c>
      <c r="C54">
        <v>1000</v>
      </c>
    </row>
    <row r="55" spans="1:3" x14ac:dyDescent="0.25">
      <c r="A55" t="s">
        <v>80</v>
      </c>
      <c r="B55">
        <v>-1000</v>
      </c>
      <c r="C55">
        <v>1000</v>
      </c>
    </row>
    <row r="56" spans="1:3" x14ac:dyDescent="0.25">
      <c r="A56" t="s">
        <v>81</v>
      </c>
      <c r="B56">
        <v>-1000</v>
      </c>
      <c r="C56">
        <v>1000</v>
      </c>
    </row>
    <row r="57" spans="1:3" x14ac:dyDescent="0.25">
      <c r="A57" t="s">
        <v>82</v>
      </c>
      <c r="B57">
        <v>-1000</v>
      </c>
      <c r="C57">
        <v>1000</v>
      </c>
    </row>
    <row r="58" spans="1:3" x14ac:dyDescent="0.25">
      <c r="A58" t="s">
        <v>83</v>
      </c>
      <c r="B58">
        <v>-1000</v>
      </c>
      <c r="C58">
        <v>1000</v>
      </c>
    </row>
    <row r="59" spans="1:3" x14ac:dyDescent="0.25">
      <c r="A59" t="s">
        <v>84</v>
      </c>
      <c r="B59">
        <v>-1000</v>
      </c>
      <c r="C59">
        <v>1000</v>
      </c>
    </row>
    <row r="60" spans="1:3" x14ac:dyDescent="0.25">
      <c r="A60" t="s">
        <v>365</v>
      </c>
      <c r="B60">
        <v>0</v>
      </c>
      <c r="C60">
        <v>0</v>
      </c>
    </row>
    <row r="61" spans="1:3" x14ac:dyDescent="0.25">
      <c r="A61" t="s">
        <v>328</v>
      </c>
      <c r="B61">
        <v>-1000</v>
      </c>
      <c r="C61">
        <v>1000</v>
      </c>
    </row>
    <row r="62" spans="1:3" x14ac:dyDescent="0.25">
      <c r="A62" t="s">
        <v>85</v>
      </c>
      <c r="B62">
        <v>-1000</v>
      </c>
      <c r="C62">
        <v>1000</v>
      </c>
    </row>
    <row r="63" spans="1:3" x14ac:dyDescent="0.25">
      <c r="A63" t="s">
        <v>86</v>
      </c>
      <c r="B63">
        <v>-1000</v>
      </c>
      <c r="C63">
        <v>1000</v>
      </c>
    </row>
    <row r="64" spans="1:3" x14ac:dyDescent="0.25">
      <c r="A64" t="s">
        <v>87</v>
      </c>
      <c r="B64">
        <v>-1000</v>
      </c>
      <c r="C64">
        <v>1000</v>
      </c>
    </row>
    <row r="65" spans="1:3" x14ac:dyDescent="0.25">
      <c r="A65" t="s">
        <v>88</v>
      </c>
      <c r="B65">
        <v>-1000</v>
      </c>
      <c r="C65">
        <v>1000</v>
      </c>
    </row>
    <row r="66" spans="1:3" x14ac:dyDescent="0.25">
      <c r="A66" t="s">
        <v>89</v>
      </c>
      <c r="B66">
        <v>-1000</v>
      </c>
      <c r="C66">
        <v>1000</v>
      </c>
    </row>
    <row r="67" spans="1:3" x14ac:dyDescent="0.25">
      <c r="A67" t="s">
        <v>90</v>
      </c>
      <c r="B67">
        <v>0</v>
      </c>
      <c r="C67">
        <v>1000</v>
      </c>
    </row>
    <row r="68" spans="1:3" x14ac:dyDescent="0.25">
      <c r="A68" t="s">
        <v>329</v>
      </c>
      <c r="B68">
        <v>-1000</v>
      </c>
      <c r="C68">
        <v>1000</v>
      </c>
    </row>
    <row r="69" spans="1:3" x14ac:dyDescent="0.25">
      <c r="A69" t="s">
        <v>91</v>
      </c>
      <c r="B69">
        <v>-1000</v>
      </c>
      <c r="C69">
        <v>1000</v>
      </c>
    </row>
    <row r="70" spans="1:3" x14ac:dyDescent="0.25">
      <c r="A70" t="s">
        <v>92</v>
      </c>
      <c r="B70">
        <v>-1000</v>
      </c>
      <c r="C70">
        <v>1000</v>
      </c>
    </row>
    <row r="71" spans="1:3" x14ac:dyDescent="0.25">
      <c r="A71" t="s">
        <v>93</v>
      </c>
      <c r="B71">
        <v>-1000</v>
      </c>
      <c r="C71">
        <v>1000</v>
      </c>
    </row>
    <row r="72" spans="1:3" x14ac:dyDescent="0.25">
      <c r="A72" t="s">
        <v>94</v>
      </c>
      <c r="B72">
        <v>-1000</v>
      </c>
      <c r="C72">
        <v>1000</v>
      </c>
    </row>
    <row r="73" spans="1:3" x14ac:dyDescent="0.25">
      <c r="A73" t="s">
        <v>330</v>
      </c>
      <c r="B73">
        <v>0</v>
      </c>
      <c r="C73">
        <v>1000</v>
      </c>
    </row>
    <row r="74" spans="1:3" x14ac:dyDescent="0.25">
      <c r="A74" t="s">
        <v>95</v>
      </c>
      <c r="B74">
        <v>-1000</v>
      </c>
      <c r="C74">
        <v>1000</v>
      </c>
    </row>
    <row r="75" spans="1:3" x14ac:dyDescent="0.25">
      <c r="A75" t="s">
        <v>331</v>
      </c>
      <c r="B75">
        <v>-1000</v>
      </c>
      <c r="C75">
        <v>1000</v>
      </c>
    </row>
    <row r="76" spans="1:3" x14ac:dyDescent="0.25">
      <c r="A76" t="s">
        <v>96</v>
      </c>
      <c r="B76">
        <v>-1000</v>
      </c>
      <c r="C76">
        <v>1000</v>
      </c>
    </row>
    <row r="77" spans="1:3" x14ac:dyDescent="0.25">
      <c r="A77" t="s">
        <v>97</v>
      </c>
      <c r="B77">
        <v>-1000</v>
      </c>
      <c r="C77">
        <v>1000</v>
      </c>
    </row>
    <row r="78" spans="1:3" x14ac:dyDescent="0.25">
      <c r="A78" t="s">
        <v>98</v>
      </c>
      <c r="B78">
        <v>-1000</v>
      </c>
      <c r="C78">
        <v>1000</v>
      </c>
    </row>
    <row r="79" spans="1:3" x14ac:dyDescent="0.25">
      <c r="A79" t="s">
        <v>99</v>
      </c>
      <c r="B79">
        <v>-1000</v>
      </c>
      <c r="C79">
        <v>1000</v>
      </c>
    </row>
    <row r="80" spans="1:3" x14ac:dyDescent="0.25">
      <c r="A80" t="s">
        <v>100</v>
      </c>
      <c r="B80">
        <v>-1000</v>
      </c>
      <c r="C80">
        <v>1000</v>
      </c>
    </row>
    <row r="81" spans="1:3" x14ac:dyDescent="0.25">
      <c r="A81" t="s">
        <v>101</v>
      </c>
      <c r="B81">
        <v>-1000</v>
      </c>
      <c r="C81">
        <v>1000</v>
      </c>
    </row>
    <row r="82" spans="1:3" x14ac:dyDescent="0.25">
      <c r="A82" t="s">
        <v>102</v>
      </c>
      <c r="B82">
        <v>-1000</v>
      </c>
      <c r="C82">
        <v>1000</v>
      </c>
    </row>
    <row r="83" spans="1:3" x14ac:dyDescent="0.25">
      <c r="A83" t="s">
        <v>103</v>
      </c>
      <c r="B83">
        <v>-1000</v>
      </c>
      <c r="C83">
        <v>1000</v>
      </c>
    </row>
    <row r="84" spans="1:3" x14ac:dyDescent="0.25">
      <c r="A84" t="s">
        <v>104</v>
      </c>
      <c r="B84">
        <v>-1000</v>
      </c>
      <c r="C84">
        <v>1000</v>
      </c>
    </row>
    <row r="85" spans="1:3" x14ac:dyDescent="0.25">
      <c r="A85" t="s">
        <v>105</v>
      </c>
      <c r="B85">
        <v>-1000</v>
      </c>
      <c r="C85">
        <v>1000</v>
      </c>
    </row>
    <row r="86" spans="1:3" x14ac:dyDescent="0.25">
      <c r="A86" t="s">
        <v>106</v>
      </c>
      <c r="B86">
        <v>-1000</v>
      </c>
      <c r="C86">
        <v>1000</v>
      </c>
    </row>
    <row r="87" spans="1:3" x14ac:dyDescent="0.25">
      <c r="A87" t="s">
        <v>107</v>
      </c>
      <c r="B87">
        <v>-1000</v>
      </c>
      <c r="C87">
        <v>1000</v>
      </c>
    </row>
    <row r="88" spans="1:3" x14ac:dyDescent="0.25">
      <c r="A88" t="s">
        <v>108</v>
      </c>
      <c r="B88">
        <v>-1000</v>
      </c>
      <c r="C88">
        <v>1000</v>
      </c>
    </row>
    <row r="89" spans="1:3" x14ac:dyDescent="0.25">
      <c r="A89" t="s">
        <v>109</v>
      </c>
      <c r="B89">
        <v>-1000</v>
      </c>
      <c r="C89">
        <v>1000</v>
      </c>
    </row>
    <row r="90" spans="1:3" x14ac:dyDescent="0.25">
      <c r="A90" t="s">
        <v>110</v>
      </c>
      <c r="B90">
        <v>-1000</v>
      </c>
      <c r="C90">
        <v>1000</v>
      </c>
    </row>
    <row r="91" spans="1:3" x14ac:dyDescent="0.25">
      <c r="A91" t="s">
        <v>111</v>
      </c>
      <c r="B91">
        <v>-1000</v>
      </c>
      <c r="C91">
        <v>1000</v>
      </c>
    </row>
    <row r="92" spans="1:3" x14ac:dyDescent="0.25">
      <c r="A92" t="s">
        <v>112</v>
      </c>
      <c r="B92">
        <v>-1000</v>
      </c>
      <c r="C92">
        <v>1000</v>
      </c>
    </row>
    <row r="93" spans="1:3" x14ac:dyDescent="0.25">
      <c r="A93" t="s">
        <v>113</v>
      </c>
      <c r="B93">
        <v>-1000</v>
      </c>
      <c r="C93">
        <v>1000</v>
      </c>
    </row>
    <row r="94" spans="1:3" x14ac:dyDescent="0.25">
      <c r="A94" t="s">
        <v>114</v>
      </c>
      <c r="B94">
        <v>-1000</v>
      </c>
      <c r="C94">
        <v>1000</v>
      </c>
    </row>
    <row r="95" spans="1:3" x14ac:dyDescent="0.25">
      <c r="A95" t="s">
        <v>115</v>
      </c>
      <c r="B95">
        <v>-1000</v>
      </c>
      <c r="C95">
        <v>1000</v>
      </c>
    </row>
    <row r="96" spans="1:3" x14ac:dyDescent="0.25">
      <c r="A96" t="s">
        <v>116</v>
      </c>
      <c r="B96">
        <v>-1000</v>
      </c>
      <c r="C96">
        <v>1000</v>
      </c>
    </row>
    <row r="97" spans="1:3" x14ac:dyDescent="0.25">
      <c r="A97" t="s">
        <v>117</v>
      </c>
      <c r="B97">
        <v>-1000</v>
      </c>
      <c r="C97">
        <v>1000</v>
      </c>
    </row>
    <row r="98" spans="1:3" x14ac:dyDescent="0.25">
      <c r="A98" t="s">
        <v>118</v>
      </c>
      <c r="B98">
        <v>-1000</v>
      </c>
      <c r="C98">
        <v>1000</v>
      </c>
    </row>
    <row r="99" spans="1:3" x14ac:dyDescent="0.25">
      <c r="A99" t="s">
        <v>119</v>
      </c>
      <c r="B99">
        <v>-1000</v>
      </c>
      <c r="C99">
        <v>1000</v>
      </c>
    </row>
    <row r="100" spans="1:3" x14ac:dyDescent="0.25">
      <c r="A100" t="s">
        <v>120</v>
      </c>
      <c r="B100">
        <v>-1000</v>
      </c>
      <c r="C100">
        <v>1000</v>
      </c>
    </row>
    <row r="101" spans="1:3" x14ac:dyDescent="0.25">
      <c r="A101" t="s">
        <v>121</v>
      </c>
      <c r="B101">
        <v>-1000</v>
      </c>
      <c r="C101">
        <v>1000</v>
      </c>
    </row>
    <row r="102" spans="1:3" x14ac:dyDescent="0.25">
      <c r="A102" t="s">
        <v>122</v>
      </c>
      <c r="B102">
        <v>-1000</v>
      </c>
      <c r="C102">
        <v>1000</v>
      </c>
    </row>
    <row r="103" spans="1:3" x14ac:dyDescent="0.25">
      <c r="A103" t="s">
        <v>123</v>
      </c>
      <c r="B103">
        <v>-1000</v>
      </c>
      <c r="C103">
        <v>1000</v>
      </c>
    </row>
    <row r="104" spans="1:3" x14ac:dyDescent="0.25">
      <c r="A104" t="s">
        <v>124</v>
      </c>
      <c r="B104">
        <v>-1000</v>
      </c>
      <c r="C104">
        <v>1000</v>
      </c>
    </row>
    <row r="105" spans="1:3" x14ac:dyDescent="0.25">
      <c r="A105" t="s">
        <v>332</v>
      </c>
      <c r="B105">
        <v>-1000</v>
      </c>
      <c r="C105">
        <v>1000</v>
      </c>
    </row>
    <row r="106" spans="1:3" x14ac:dyDescent="0.25">
      <c r="A106" t="s">
        <v>333</v>
      </c>
      <c r="B106">
        <v>-1000</v>
      </c>
      <c r="C106">
        <v>1000</v>
      </c>
    </row>
    <row r="107" spans="1:3" x14ac:dyDescent="0.25">
      <c r="A107" t="s">
        <v>125</v>
      </c>
      <c r="B107">
        <v>-1000</v>
      </c>
      <c r="C107">
        <v>1000</v>
      </c>
    </row>
    <row r="108" spans="1:3" x14ac:dyDescent="0.25">
      <c r="A108" t="s">
        <v>126</v>
      </c>
      <c r="B108">
        <v>-1000</v>
      </c>
      <c r="C108">
        <v>1000</v>
      </c>
    </row>
    <row r="109" spans="1:3" x14ac:dyDescent="0.25">
      <c r="A109" t="s">
        <v>127</v>
      </c>
      <c r="B109">
        <v>-1000</v>
      </c>
      <c r="C109">
        <v>1000</v>
      </c>
    </row>
    <row r="110" spans="1:3" x14ac:dyDescent="0.25">
      <c r="A110" t="s">
        <v>128</v>
      </c>
      <c r="B110">
        <v>-1000</v>
      </c>
      <c r="C110">
        <v>1000</v>
      </c>
    </row>
    <row r="111" spans="1:3" x14ac:dyDescent="0.25">
      <c r="A111" t="s">
        <v>129</v>
      </c>
      <c r="B111">
        <v>-1000</v>
      </c>
      <c r="C111">
        <v>1000</v>
      </c>
    </row>
    <row r="112" spans="1:3" x14ac:dyDescent="0.25">
      <c r="A112" t="s">
        <v>130</v>
      </c>
      <c r="B112">
        <v>-1000</v>
      </c>
      <c r="C112">
        <v>1000</v>
      </c>
    </row>
    <row r="113" spans="1:3" x14ac:dyDescent="0.25">
      <c r="A113" t="s">
        <v>364</v>
      </c>
      <c r="B113">
        <v>-1000</v>
      </c>
      <c r="C113">
        <v>1000</v>
      </c>
    </row>
    <row r="114" spans="1:3" x14ac:dyDescent="0.25">
      <c r="A114" t="s">
        <v>131</v>
      </c>
      <c r="B114">
        <v>-1000</v>
      </c>
      <c r="C114">
        <v>1000</v>
      </c>
    </row>
    <row r="115" spans="1:3" x14ac:dyDescent="0.25">
      <c r="A115" t="s">
        <v>132</v>
      </c>
      <c r="B115">
        <v>-1000</v>
      </c>
      <c r="C115">
        <v>1000</v>
      </c>
    </row>
    <row r="116" spans="1:3" x14ac:dyDescent="0.25">
      <c r="A116" t="s">
        <v>334</v>
      </c>
      <c r="B116">
        <v>-1000</v>
      </c>
      <c r="C116">
        <v>1000</v>
      </c>
    </row>
    <row r="117" spans="1:3" x14ac:dyDescent="0.25">
      <c r="A117" t="s">
        <v>133</v>
      </c>
      <c r="B117">
        <v>-1000</v>
      </c>
      <c r="C117">
        <v>1000</v>
      </c>
    </row>
    <row r="118" spans="1:3" x14ac:dyDescent="0.25">
      <c r="A118" t="s">
        <v>135</v>
      </c>
      <c r="B118">
        <v>-1000</v>
      </c>
      <c r="C118">
        <v>1000</v>
      </c>
    </row>
    <row r="119" spans="1:3" x14ac:dyDescent="0.25">
      <c r="A119" t="s">
        <v>136</v>
      </c>
      <c r="B119">
        <v>-1000</v>
      </c>
      <c r="C119">
        <v>1000</v>
      </c>
    </row>
    <row r="120" spans="1:3" x14ac:dyDescent="0.25">
      <c r="A120" t="s">
        <v>137</v>
      </c>
      <c r="B120">
        <v>-1000</v>
      </c>
      <c r="C120">
        <v>1000</v>
      </c>
    </row>
    <row r="121" spans="1:3" x14ac:dyDescent="0.25">
      <c r="A121" t="s">
        <v>138</v>
      </c>
      <c r="B121">
        <v>-1000</v>
      </c>
      <c r="C121">
        <v>1000</v>
      </c>
    </row>
    <row r="122" spans="1:3" x14ac:dyDescent="0.25">
      <c r="A122" t="s">
        <v>139</v>
      </c>
      <c r="B122">
        <v>-1000</v>
      </c>
      <c r="C122">
        <v>1000</v>
      </c>
    </row>
    <row r="123" spans="1:3" x14ac:dyDescent="0.25">
      <c r="A123" t="s">
        <v>140</v>
      </c>
      <c r="B123">
        <v>-1000</v>
      </c>
      <c r="C123">
        <v>1000</v>
      </c>
    </row>
    <row r="124" spans="1:3" x14ac:dyDescent="0.25">
      <c r="A124" t="s">
        <v>141</v>
      </c>
      <c r="B124">
        <v>-1000</v>
      </c>
      <c r="C124">
        <v>1000</v>
      </c>
    </row>
    <row r="125" spans="1:3" x14ac:dyDescent="0.25">
      <c r="A125" t="s">
        <v>142</v>
      </c>
      <c r="B125">
        <v>-1000</v>
      </c>
      <c r="C125">
        <v>1000</v>
      </c>
    </row>
    <row r="126" spans="1:3" x14ac:dyDescent="0.25">
      <c r="A126" t="s">
        <v>367</v>
      </c>
      <c r="B126">
        <v>0</v>
      </c>
      <c r="C126">
        <v>1000</v>
      </c>
    </row>
    <row r="127" spans="1:3" x14ac:dyDescent="0.25">
      <c r="A127" t="s">
        <v>368</v>
      </c>
      <c r="B127">
        <v>0</v>
      </c>
      <c r="C127">
        <v>0</v>
      </c>
    </row>
    <row r="128" spans="1:3" x14ac:dyDescent="0.25">
      <c r="A128" t="s">
        <v>143</v>
      </c>
      <c r="B128">
        <v>-1000</v>
      </c>
      <c r="C128">
        <v>1000</v>
      </c>
    </row>
    <row r="129" spans="1:3" x14ac:dyDescent="0.25">
      <c r="A129" t="s">
        <v>366</v>
      </c>
      <c r="B129">
        <v>-1000</v>
      </c>
      <c r="C129">
        <v>1000</v>
      </c>
    </row>
    <row r="130" spans="1:3" x14ac:dyDescent="0.25">
      <c r="A130" t="s">
        <v>145</v>
      </c>
      <c r="B130">
        <v>-1000</v>
      </c>
      <c r="C130">
        <v>1000</v>
      </c>
    </row>
    <row r="131" spans="1:3" x14ac:dyDescent="0.25">
      <c r="A131" t="s">
        <v>146</v>
      </c>
      <c r="B131">
        <v>0</v>
      </c>
      <c r="C131">
        <v>1000</v>
      </c>
    </row>
    <row r="132" spans="1:3" x14ac:dyDescent="0.25">
      <c r="A132" t="s">
        <v>147</v>
      </c>
      <c r="B132">
        <v>0</v>
      </c>
      <c r="C132">
        <v>1000</v>
      </c>
    </row>
    <row r="133" spans="1:3" x14ac:dyDescent="0.25">
      <c r="A133" t="s">
        <v>148</v>
      </c>
      <c r="B133">
        <v>-1000</v>
      </c>
      <c r="C133">
        <v>1000</v>
      </c>
    </row>
    <row r="134" spans="1:3" x14ac:dyDescent="0.25">
      <c r="A134" t="s">
        <v>149</v>
      </c>
      <c r="B134">
        <v>-1000</v>
      </c>
      <c r="C134">
        <v>1000</v>
      </c>
    </row>
    <row r="135" spans="1:3" x14ac:dyDescent="0.25">
      <c r="A135" t="s">
        <v>361</v>
      </c>
      <c r="B135">
        <v>0</v>
      </c>
      <c r="C135">
        <v>1000</v>
      </c>
    </row>
    <row r="136" spans="1:3" x14ac:dyDescent="0.25">
      <c r="A136" t="s">
        <v>362</v>
      </c>
      <c r="B136">
        <v>0</v>
      </c>
      <c r="C136">
        <v>1000</v>
      </c>
    </row>
    <row r="137" spans="1:3" x14ac:dyDescent="0.25">
      <c r="A137" t="s">
        <v>151</v>
      </c>
      <c r="B137">
        <v>-1000</v>
      </c>
      <c r="C137">
        <v>1000</v>
      </c>
    </row>
    <row r="138" spans="1:3" x14ac:dyDescent="0.25">
      <c r="A138" t="s">
        <v>152</v>
      </c>
      <c r="B138">
        <v>-1000</v>
      </c>
      <c r="C138">
        <v>1000</v>
      </c>
    </row>
    <row r="139" spans="1:3" x14ac:dyDescent="0.25">
      <c r="A139" t="s">
        <v>153</v>
      </c>
      <c r="B139">
        <v>-1000</v>
      </c>
      <c r="C139">
        <v>1000</v>
      </c>
    </row>
    <row r="140" spans="1:3" x14ac:dyDescent="0.25">
      <c r="A140" t="s">
        <v>154</v>
      </c>
      <c r="B140">
        <v>-1000</v>
      </c>
      <c r="C140">
        <v>1000</v>
      </c>
    </row>
    <row r="141" spans="1:3" x14ac:dyDescent="0.25">
      <c r="A141" t="s">
        <v>144</v>
      </c>
      <c r="B141">
        <v>0</v>
      </c>
      <c r="C141">
        <v>1000</v>
      </c>
    </row>
    <row r="142" spans="1:3" x14ac:dyDescent="0.25">
      <c r="A142" t="s">
        <v>155</v>
      </c>
      <c r="B142">
        <v>-1000</v>
      </c>
      <c r="C142">
        <v>1000</v>
      </c>
    </row>
    <row r="143" spans="1:3" x14ac:dyDescent="0.25">
      <c r="A143" t="s">
        <v>156</v>
      </c>
      <c r="B143">
        <v>-1000</v>
      </c>
      <c r="C143">
        <v>1000</v>
      </c>
    </row>
    <row r="144" spans="1:3" x14ac:dyDescent="0.25">
      <c r="A144" t="s">
        <v>157</v>
      </c>
      <c r="B144">
        <v>-1000</v>
      </c>
      <c r="C144">
        <v>1000</v>
      </c>
    </row>
    <row r="145" spans="1:3" x14ac:dyDescent="0.25">
      <c r="A145" t="s">
        <v>158</v>
      </c>
      <c r="B145">
        <v>-1000</v>
      </c>
      <c r="C145">
        <v>1000</v>
      </c>
    </row>
    <row r="146" spans="1:3" x14ac:dyDescent="0.25">
      <c r="A146" t="s">
        <v>159</v>
      </c>
      <c r="B146">
        <v>-1000</v>
      </c>
      <c r="C146">
        <v>1000</v>
      </c>
    </row>
    <row r="147" spans="1:3" x14ac:dyDescent="0.25">
      <c r="A147" t="s">
        <v>385</v>
      </c>
      <c r="B147">
        <v>-1000</v>
      </c>
      <c r="C147">
        <v>1000</v>
      </c>
    </row>
    <row r="148" spans="1:3" x14ac:dyDescent="0.25">
      <c r="A148" t="s">
        <v>160</v>
      </c>
      <c r="B148">
        <v>-1000</v>
      </c>
      <c r="C148">
        <v>1000</v>
      </c>
    </row>
    <row r="149" spans="1:3" x14ac:dyDescent="0.25">
      <c r="A149" t="s">
        <v>161</v>
      </c>
      <c r="B149">
        <v>-1000</v>
      </c>
      <c r="C149">
        <v>1000</v>
      </c>
    </row>
    <row r="150" spans="1:3" x14ac:dyDescent="0.25">
      <c r="A150" t="s">
        <v>162</v>
      </c>
      <c r="B150">
        <v>-1000</v>
      </c>
      <c r="C150">
        <v>1000</v>
      </c>
    </row>
    <row r="151" spans="1:3" x14ac:dyDescent="0.25">
      <c r="A151" t="s">
        <v>163</v>
      </c>
      <c r="B151">
        <v>-1000</v>
      </c>
      <c r="C151">
        <v>1000</v>
      </c>
    </row>
    <row r="152" spans="1:3" x14ac:dyDescent="0.25">
      <c r="A152" t="s">
        <v>164</v>
      </c>
      <c r="B152">
        <v>-1000</v>
      </c>
      <c r="C152">
        <v>1000</v>
      </c>
    </row>
    <row r="153" spans="1:3" x14ac:dyDescent="0.25">
      <c r="A153" t="s">
        <v>165</v>
      </c>
      <c r="B153">
        <v>-1000</v>
      </c>
      <c r="C153">
        <v>1000</v>
      </c>
    </row>
    <row r="154" spans="1:3" x14ac:dyDescent="0.25">
      <c r="A154" t="s">
        <v>166</v>
      </c>
      <c r="B154">
        <v>-1000</v>
      </c>
      <c r="C154">
        <v>1000</v>
      </c>
    </row>
    <row r="155" spans="1:3" x14ac:dyDescent="0.25">
      <c r="A155" t="s">
        <v>167</v>
      </c>
      <c r="B155">
        <v>-1000</v>
      </c>
      <c r="C155">
        <v>1000</v>
      </c>
    </row>
    <row r="156" spans="1:3" x14ac:dyDescent="0.25">
      <c r="A156" t="s">
        <v>335</v>
      </c>
      <c r="B156">
        <v>-1000</v>
      </c>
      <c r="C156">
        <v>1000</v>
      </c>
    </row>
    <row r="157" spans="1:3" x14ac:dyDescent="0.25">
      <c r="A157" t="s">
        <v>168</v>
      </c>
      <c r="B157">
        <v>-1000</v>
      </c>
      <c r="C157">
        <v>1000</v>
      </c>
    </row>
    <row r="158" spans="1:3" x14ac:dyDescent="0.25">
      <c r="A158" t="s">
        <v>169</v>
      </c>
      <c r="B158">
        <v>-1000</v>
      </c>
      <c r="C158">
        <v>1000</v>
      </c>
    </row>
    <row r="159" spans="1:3" x14ac:dyDescent="0.25">
      <c r="A159" t="s">
        <v>170</v>
      </c>
      <c r="B159">
        <v>-1000</v>
      </c>
      <c r="C159">
        <v>1000</v>
      </c>
    </row>
    <row r="160" spans="1:3" x14ac:dyDescent="0.25">
      <c r="A160" t="s">
        <v>171</v>
      </c>
      <c r="B160">
        <v>-1000</v>
      </c>
      <c r="C160">
        <v>1000</v>
      </c>
    </row>
    <row r="161" spans="1:3" x14ac:dyDescent="0.25">
      <c r="A161" t="s">
        <v>173</v>
      </c>
      <c r="B161">
        <v>-1000</v>
      </c>
      <c r="C161">
        <v>1000</v>
      </c>
    </row>
    <row r="162" spans="1:3" x14ac:dyDescent="0.25">
      <c r="A162" t="s">
        <v>174</v>
      </c>
      <c r="B162">
        <v>-1000</v>
      </c>
      <c r="C162">
        <v>1000</v>
      </c>
    </row>
    <row r="163" spans="1:3" x14ac:dyDescent="0.25">
      <c r="A163" t="s">
        <v>175</v>
      </c>
      <c r="B163">
        <v>-1000</v>
      </c>
      <c r="C163">
        <v>1000</v>
      </c>
    </row>
    <row r="164" spans="1:3" x14ac:dyDescent="0.25">
      <c r="A164" t="s">
        <v>435</v>
      </c>
      <c r="B164">
        <v>-1000</v>
      </c>
      <c r="C164">
        <v>1000</v>
      </c>
    </row>
    <row r="165" spans="1:3" x14ac:dyDescent="0.25">
      <c r="A165" t="s">
        <v>176</v>
      </c>
      <c r="B165">
        <v>-1000</v>
      </c>
      <c r="C165">
        <v>1000</v>
      </c>
    </row>
    <row r="166" spans="1:3" x14ac:dyDescent="0.25">
      <c r="A166" t="s">
        <v>177</v>
      </c>
      <c r="B166">
        <v>-1000</v>
      </c>
      <c r="C166">
        <v>1000</v>
      </c>
    </row>
    <row r="167" spans="1:3" x14ac:dyDescent="0.25">
      <c r="A167" t="s">
        <v>363</v>
      </c>
      <c r="B167">
        <v>0</v>
      </c>
      <c r="C167">
        <v>0</v>
      </c>
    </row>
    <row r="168" spans="1:3" x14ac:dyDescent="0.25">
      <c r="A168" t="s">
        <v>336</v>
      </c>
      <c r="B168">
        <v>-1000</v>
      </c>
      <c r="C168">
        <v>1000</v>
      </c>
    </row>
    <row r="169" spans="1:3" x14ac:dyDescent="0.25">
      <c r="A169" t="s">
        <v>360</v>
      </c>
      <c r="B169">
        <v>100</v>
      </c>
      <c r="C169">
        <v>100</v>
      </c>
    </row>
    <row r="170" spans="1:3" x14ac:dyDescent="0.25">
      <c r="A170" t="s">
        <v>178</v>
      </c>
      <c r="B170">
        <f>val!C7</f>
        <v>194.96583861362987</v>
      </c>
      <c r="C170">
        <f>val!C7</f>
        <v>194.96583861362987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2464F-5490-4463-BC9F-AC4DB874F10E}">
  <dimension ref="A1:C170"/>
  <sheetViews>
    <sheetView topLeftCell="A31" workbookViewId="0">
      <selection activeCell="A37" sqref="A37"/>
    </sheetView>
  </sheetViews>
  <sheetFormatPr defaultRowHeight="15" x14ac:dyDescent="0.25"/>
  <cols>
    <col min="1" max="1" width="18.5703125" bestFit="1" customWidth="1"/>
  </cols>
  <sheetData>
    <row r="1" spans="1:3" x14ac:dyDescent="0.25">
      <c r="A1" t="s">
        <v>5</v>
      </c>
      <c r="B1" t="s">
        <v>352</v>
      </c>
      <c r="C1" t="s">
        <v>353</v>
      </c>
    </row>
    <row r="2" spans="1:3" x14ac:dyDescent="0.25">
      <c r="A2" t="s">
        <v>39</v>
      </c>
      <c r="B2">
        <v>-1000</v>
      </c>
      <c r="C2">
        <v>1000</v>
      </c>
    </row>
    <row r="3" spans="1:3" x14ac:dyDescent="0.25">
      <c r="A3" t="s">
        <v>359</v>
      </c>
      <c r="B3">
        <v>0</v>
      </c>
      <c r="C3">
        <v>0</v>
      </c>
    </row>
    <row r="4" spans="1:3" x14ac:dyDescent="0.25">
      <c r="A4" t="s">
        <v>386</v>
      </c>
      <c r="B4">
        <v>-1000</v>
      </c>
      <c r="C4">
        <v>1000</v>
      </c>
    </row>
    <row r="5" spans="1:3" x14ac:dyDescent="0.25">
      <c r="A5" t="s">
        <v>358</v>
      </c>
      <c r="B5">
        <v>0</v>
      </c>
      <c r="C5">
        <v>0</v>
      </c>
    </row>
    <row r="6" spans="1:3" x14ac:dyDescent="0.25">
      <c r="A6" t="s">
        <v>40</v>
      </c>
      <c r="B6">
        <v>-1000</v>
      </c>
      <c r="C6">
        <v>1000</v>
      </c>
    </row>
    <row r="7" spans="1:3" x14ac:dyDescent="0.25">
      <c r="A7" t="s">
        <v>41</v>
      </c>
      <c r="B7">
        <v>-1000</v>
      </c>
      <c r="C7">
        <v>1000</v>
      </c>
    </row>
    <row r="8" spans="1:3" x14ac:dyDescent="0.25">
      <c r="A8" t="s">
        <v>42</v>
      </c>
      <c r="B8">
        <v>-1000</v>
      </c>
      <c r="C8">
        <v>1000</v>
      </c>
    </row>
    <row r="9" spans="1:3" x14ac:dyDescent="0.25">
      <c r="A9" t="s">
        <v>43</v>
      </c>
      <c r="B9">
        <v>-1000</v>
      </c>
      <c r="C9">
        <v>1000</v>
      </c>
    </row>
    <row r="10" spans="1:3" x14ac:dyDescent="0.25">
      <c r="A10" t="s">
        <v>44</v>
      </c>
      <c r="B10">
        <v>-1000</v>
      </c>
      <c r="C10">
        <v>1000</v>
      </c>
    </row>
    <row r="11" spans="1:3" x14ac:dyDescent="0.25">
      <c r="A11" t="s">
        <v>45</v>
      </c>
      <c r="B11">
        <v>0</v>
      </c>
      <c r="C11">
        <v>1000</v>
      </c>
    </row>
    <row r="12" spans="1:3" x14ac:dyDescent="0.25">
      <c r="A12" t="s">
        <v>324</v>
      </c>
      <c r="B12">
        <v>0</v>
      </c>
      <c r="C12">
        <v>1000</v>
      </c>
    </row>
    <row r="13" spans="1:3" x14ac:dyDescent="0.25">
      <c r="A13" t="s">
        <v>371</v>
      </c>
      <c r="B13">
        <v>-1000</v>
      </c>
      <c r="C13">
        <v>1000</v>
      </c>
    </row>
    <row r="14" spans="1:3" x14ac:dyDescent="0.25">
      <c r="A14" t="s">
        <v>371</v>
      </c>
      <c r="B14">
        <v>-1000</v>
      </c>
      <c r="C14">
        <v>1000</v>
      </c>
    </row>
    <row r="15" spans="1:3" x14ac:dyDescent="0.25">
      <c r="A15" t="s">
        <v>46</v>
      </c>
      <c r="B15">
        <v>-1000</v>
      </c>
      <c r="C15">
        <v>1000</v>
      </c>
    </row>
    <row r="16" spans="1:3" x14ac:dyDescent="0.25">
      <c r="A16" t="s">
        <v>47</v>
      </c>
      <c r="B16">
        <v>-1000</v>
      </c>
      <c r="C16">
        <v>1000</v>
      </c>
    </row>
    <row r="17" spans="1:3" x14ac:dyDescent="0.25">
      <c r="A17" t="s">
        <v>48</v>
      </c>
      <c r="B17">
        <v>-1000</v>
      </c>
      <c r="C17">
        <v>1000</v>
      </c>
    </row>
    <row r="18" spans="1:3" x14ac:dyDescent="0.25">
      <c r="A18" t="s">
        <v>49</v>
      </c>
      <c r="B18">
        <v>-1000</v>
      </c>
      <c r="C18">
        <v>1000</v>
      </c>
    </row>
    <row r="19" spans="1:3" x14ac:dyDescent="0.25">
      <c r="A19" t="s">
        <v>50</v>
      </c>
      <c r="B19">
        <v>-1000</v>
      </c>
      <c r="C19">
        <v>1000</v>
      </c>
    </row>
    <row r="20" spans="1:3" x14ac:dyDescent="0.25">
      <c r="A20" t="s">
        <v>51</v>
      </c>
      <c r="B20">
        <v>-1000</v>
      </c>
      <c r="C20">
        <v>1000</v>
      </c>
    </row>
    <row r="21" spans="1:3" x14ac:dyDescent="0.25">
      <c r="A21" t="s">
        <v>52</v>
      </c>
      <c r="B21">
        <v>-1000</v>
      </c>
      <c r="C21">
        <v>1000</v>
      </c>
    </row>
    <row r="22" spans="1:3" x14ac:dyDescent="0.25">
      <c r="A22" t="s">
        <v>53</v>
      </c>
      <c r="B22">
        <v>-1000</v>
      </c>
      <c r="C22">
        <v>1000</v>
      </c>
    </row>
    <row r="23" spans="1:3" x14ac:dyDescent="0.25">
      <c r="A23" t="s">
        <v>54</v>
      </c>
      <c r="B23">
        <v>-1000</v>
      </c>
      <c r="C23">
        <v>1000</v>
      </c>
    </row>
    <row r="24" spans="1:3" x14ac:dyDescent="0.25">
      <c r="A24" t="s">
        <v>55</v>
      </c>
      <c r="B24">
        <v>-1000</v>
      </c>
      <c r="C24">
        <v>1000</v>
      </c>
    </row>
    <row r="25" spans="1:3" x14ac:dyDescent="0.25">
      <c r="A25" t="s">
        <v>56</v>
      </c>
      <c r="B25">
        <v>-1000</v>
      </c>
      <c r="C25">
        <v>1000</v>
      </c>
    </row>
    <row r="26" spans="1:3" x14ac:dyDescent="0.25">
      <c r="A26" t="s">
        <v>57</v>
      </c>
      <c r="B26">
        <v>-1000</v>
      </c>
      <c r="C26">
        <v>1000</v>
      </c>
    </row>
    <row r="27" spans="1:3" x14ac:dyDescent="0.25">
      <c r="A27" t="s">
        <v>58</v>
      </c>
      <c r="B27">
        <v>-1000</v>
      </c>
      <c r="C27">
        <v>1000</v>
      </c>
    </row>
    <row r="28" spans="1:3" x14ac:dyDescent="0.25">
      <c r="A28" t="s">
        <v>59</v>
      </c>
      <c r="B28">
        <v>-1000</v>
      </c>
      <c r="C28">
        <v>1000</v>
      </c>
    </row>
    <row r="29" spans="1:3" x14ac:dyDescent="0.25">
      <c r="A29" t="s">
        <v>325</v>
      </c>
      <c r="B29">
        <v>-1000</v>
      </c>
      <c r="C29">
        <v>1000</v>
      </c>
    </row>
    <row r="30" spans="1:3" x14ac:dyDescent="0.25">
      <c r="A30" t="s">
        <v>60</v>
      </c>
      <c r="B30">
        <v>-1000</v>
      </c>
      <c r="C30">
        <v>1000</v>
      </c>
    </row>
    <row r="31" spans="1:3" x14ac:dyDescent="0.25">
      <c r="A31" t="s">
        <v>61</v>
      </c>
      <c r="B31">
        <v>-1000</v>
      </c>
      <c r="C31">
        <v>1000</v>
      </c>
    </row>
    <row r="32" spans="1:3" x14ac:dyDescent="0.25">
      <c r="A32" t="s">
        <v>62</v>
      </c>
      <c r="B32">
        <v>-1000</v>
      </c>
      <c r="C32">
        <v>1000</v>
      </c>
    </row>
    <row r="33" spans="1:3" x14ac:dyDescent="0.25">
      <c r="A33" t="s">
        <v>63</v>
      </c>
      <c r="B33">
        <v>-1000</v>
      </c>
      <c r="C33">
        <v>1000</v>
      </c>
    </row>
    <row r="34" spans="1:3" x14ac:dyDescent="0.25">
      <c r="A34" t="s">
        <v>64</v>
      </c>
      <c r="B34">
        <v>-1000</v>
      </c>
      <c r="C34">
        <v>1000</v>
      </c>
    </row>
    <row r="35" spans="1:3" x14ac:dyDescent="0.25">
      <c r="A35" t="s">
        <v>65</v>
      </c>
      <c r="B35">
        <v>-1000</v>
      </c>
      <c r="C35">
        <v>1000</v>
      </c>
    </row>
    <row r="36" spans="1:3" x14ac:dyDescent="0.25">
      <c r="A36" t="s">
        <v>66</v>
      </c>
      <c r="B36">
        <v>-1000</v>
      </c>
      <c r="C36">
        <v>1000</v>
      </c>
    </row>
    <row r="37" spans="1:3" x14ac:dyDescent="0.25">
      <c r="A37" t="s">
        <v>442</v>
      </c>
      <c r="B37">
        <v>-1000</v>
      </c>
      <c r="C37">
        <v>1000</v>
      </c>
    </row>
    <row r="38" spans="1:3" x14ac:dyDescent="0.25">
      <c r="A38" t="s">
        <v>438</v>
      </c>
      <c r="B38">
        <v>-1000</v>
      </c>
      <c r="C38">
        <v>1000</v>
      </c>
    </row>
    <row r="39" spans="1:3" x14ac:dyDescent="0.25">
      <c r="A39" t="s">
        <v>326</v>
      </c>
      <c r="B39">
        <v>0</v>
      </c>
      <c r="C39">
        <v>0</v>
      </c>
    </row>
    <row r="40" spans="1:3" x14ac:dyDescent="0.25">
      <c r="A40" t="s">
        <v>369</v>
      </c>
      <c r="B40">
        <v>-1000</v>
      </c>
      <c r="C40">
        <v>1000</v>
      </c>
    </row>
    <row r="41" spans="1:3" x14ac:dyDescent="0.25">
      <c r="A41" t="s">
        <v>67</v>
      </c>
      <c r="B41">
        <v>-1000</v>
      </c>
      <c r="C41">
        <v>1000</v>
      </c>
    </row>
    <row r="42" spans="1:3" x14ac:dyDescent="0.25">
      <c r="A42" t="s">
        <v>327</v>
      </c>
      <c r="B42">
        <v>-1000</v>
      </c>
      <c r="C42">
        <v>1000</v>
      </c>
    </row>
    <row r="43" spans="1:3" x14ac:dyDescent="0.25">
      <c r="A43" t="s">
        <v>68</v>
      </c>
      <c r="B43">
        <v>-1000</v>
      </c>
      <c r="C43">
        <v>1000</v>
      </c>
    </row>
    <row r="44" spans="1:3" x14ac:dyDescent="0.25">
      <c r="A44" t="s">
        <v>69</v>
      </c>
      <c r="B44">
        <v>-1000</v>
      </c>
      <c r="C44">
        <v>1000</v>
      </c>
    </row>
    <row r="45" spans="1:3" x14ac:dyDescent="0.25">
      <c r="A45" t="s">
        <v>70</v>
      </c>
      <c r="B45">
        <v>0</v>
      </c>
      <c r="C45">
        <v>0</v>
      </c>
    </row>
    <row r="46" spans="1:3" x14ac:dyDescent="0.25">
      <c r="A46" t="s">
        <v>71</v>
      </c>
      <c r="B46">
        <v>-1000</v>
      </c>
      <c r="C46">
        <v>1000</v>
      </c>
    </row>
    <row r="47" spans="1:3" x14ac:dyDescent="0.25">
      <c r="A47" t="s">
        <v>72</v>
      </c>
      <c r="B47">
        <v>-1000</v>
      </c>
      <c r="C47">
        <v>1000</v>
      </c>
    </row>
    <row r="48" spans="1:3" x14ac:dyDescent="0.25">
      <c r="A48" t="s">
        <v>73</v>
      </c>
      <c r="B48">
        <v>-1000</v>
      </c>
      <c r="C48">
        <v>1000</v>
      </c>
    </row>
    <row r="49" spans="1:3" x14ac:dyDescent="0.25">
      <c r="A49" t="s">
        <v>74</v>
      </c>
      <c r="B49">
        <v>-1000</v>
      </c>
      <c r="C49">
        <v>1000</v>
      </c>
    </row>
    <row r="50" spans="1:3" x14ac:dyDescent="0.25">
      <c r="A50" t="s">
        <v>75</v>
      </c>
      <c r="B50">
        <v>-1000</v>
      </c>
      <c r="C50">
        <v>1000</v>
      </c>
    </row>
    <row r="51" spans="1:3" x14ac:dyDescent="0.25">
      <c r="A51" t="s">
        <v>76</v>
      </c>
      <c r="B51">
        <v>-1000</v>
      </c>
      <c r="C51">
        <v>1000</v>
      </c>
    </row>
    <row r="52" spans="1:3" x14ac:dyDescent="0.25">
      <c r="A52" t="s">
        <v>77</v>
      </c>
      <c r="B52">
        <v>-1000</v>
      </c>
      <c r="C52">
        <v>1000</v>
      </c>
    </row>
    <row r="53" spans="1:3" x14ac:dyDescent="0.25">
      <c r="A53" t="s">
        <v>78</v>
      </c>
      <c r="B53">
        <v>-1000</v>
      </c>
      <c r="C53">
        <v>1000</v>
      </c>
    </row>
    <row r="54" spans="1:3" x14ac:dyDescent="0.25">
      <c r="A54" t="s">
        <v>79</v>
      </c>
      <c r="B54">
        <v>-1000</v>
      </c>
      <c r="C54">
        <v>1000</v>
      </c>
    </row>
    <row r="55" spans="1:3" x14ac:dyDescent="0.25">
      <c r="A55" t="s">
        <v>80</v>
      </c>
      <c r="B55">
        <v>-1000</v>
      </c>
      <c r="C55">
        <v>1000</v>
      </c>
    </row>
    <row r="56" spans="1:3" x14ac:dyDescent="0.25">
      <c r="A56" t="s">
        <v>81</v>
      </c>
      <c r="B56">
        <v>-1000</v>
      </c>
      <c r="C56">
        <v>1000</v>
      </c>
    </row>
    <row r="57" spans="1:3" x14ac:dyDescent="0.25">
      <c r="A57" t="s">
        <v>82</v>
      </c>
      <c r="B57">
        <v>-1000</v>
      </c>
      <c r="C57">
        <v>1000</v>
      </c>
    </row>
    <row r="58" spans="1:3" x14ac:dyDescent="0.25">
      <c r="A58" t="s">
        <v>83</v>
      </c>
      <c r="B58">
        <v>-1000</v>
      </c>
      <c r="C58">
        <v>1000</v>
      </c>
    </row>
    <row r="59" spans="1:3" x14ac:dyDescent="0.25">
      <c r="A59" t="s">
        <v>84</v>
      </c>
      <c r="B59">
        <v>-1000</v>
      </c>
      <c r="C59">
        <v>1000</v>
      </c>
    </row>
    <row r="60" spans="1:3" x14ac:dyDescent="0.25">
      <c r="A60" t="s">
        <v>365</v>
      </c>
      <c r="B60">
        <v>0</v>
      </c>
      <c r="C60">
        <v>0</v>
      </c>
    </row>
    <row r="61" spans="1:3" x14ac:dyDescent="0.25">
      <c r="A61" t="s">
        <v>328</v>
      </c>
      <c r="B61">
        <v>-1000</v>
      </c>
      <c r="C61">
        <v>1000</v>
      </c>
    </row>
    <row r="62" spans="1:3" x14ac:dyDescent="0.25">
      <c r="A62" t="s">
        <v>85</v>
      </c>
      <c r="B62">
        <v>-1000</v>
      </c>
      <c r="C62">
        <v>1000</v>
      </c>
    </row>
    <row r="63" spans="1:3" x14ac:dyDescent="0.25">
      <c r="A63" t="s">
        <v>86</v>
      </c>
      <c r="B63">
        <v>-1000</v>
      </c>
      <c r="C63">
        <v>1000</v>
      </c>
    </row>
    <row r="64" spans="1:3" x14ac:dyDescent="0.25">
      <c r="A64" t="s">
        <v>87</v>
      </c>
      <c r="B64">
        <v>-1000</v>
      </c>
      <c r="C64">
        <v>1000</v>
      </c>
    </row>
    <row r="65" spans="1:3" x14ac:dyDescent="0.25">
      <c r="A65" t="s">
        <v>88</v>
      </c>
      <c r="B65">
        <v>-1000</v>
      </c>
      <c r="C65">
        <v>1000</v>
      </c>
    </row>
    <row r="66" spans="1:3" x14ac:dyDescent="0.25">
      <c r="A66" t="s">
        <v>89</v>
      </c>
      <c r="B66">
        <v>-1000</v>
      </c>
      <c r="C66">
        <v>1000</v>
      </c>
    </row>
    <row r="67" spans="1:3" x14ac:dyDescent="0.25">
      <c r="A67" t="s">
        <v>90</v>
      </c>
      <c r="B67">
        <v>0</v>
      </c>
      <c r="C67">
        <v>1000</v>
      </c>
    </row>
    <row r="68" spans="1:3" x14ac:dyDescent="0.25">
      <c r="A68" t="s">
        <v>329</v>
      </c>
      <c r="B68">
        <v>-1000</v>
      </c>
      <c r="C68">
        <v>1000</v>
      </c>
    </row>
    <row r="69" spans="1:3" x14ac:dyDescent="0.25">
      <c r="A69" t="s">
        <v>91</v>
      </c>
      <c r="B69">
        <v>-1000</v>
      </c>
      <c r="C69">
        <v>1000</v>
      </c>
    </row>
    <row r="70" spans="1:3" x14ac:dyDescent="0.25">
      <c r="A70" t="s">
        <v>92</v>
      </c>
      <c r="B70">
        <v>-1000</v>
      </c>
      <c r="C70">
        <v>1000</v>
      </c>
    </row>
    <row r="71" spans="1:3" x14ac:dyDescent="0.25">
      <c r="A71" t="s">
        <v>93</v>
      </c>
      <c r="B71">
        <v>-1000</v>
      </c>
      <c r="C71">
        <v>1000</v>
      </c>
    </row>
    <row r="72" spans="1:3" x14ac:dyDescent="0.25">
      <c r="A72" t="s">
        <v>94</v>
      </c>
      <c r="B72">
        <v>-1000</v>
      </c>
      <c r="C72">
        <v>1000</v>
      </c>
    </row>
    <row r="73" spans="1:3" x14ac:dyDescent="0.25">
      <c r="A73" t="s">
        <v>330</v>
      </c>
      <c r="B73">
        <v>0</v>
      </c>
      <c r="C73">
        <v>1000</v>
      </c>
    </row>
    <row r="74" spans="1:3" x14ac:dyDescent="0.25">
      <c r="A74" t="s">
        <v>95</v>
      </c>
      <c r="B74">
        <v>-1000</v>
      </c>
      <c r="C74">
        <v>1000</v>
      </c>
    </row>
    <row r="75" spans="1:3" x14ac:dyDescent="0.25">
      <c r="A75" t="s">
        <v>331</v>
      </c>
      <c r="B75">
        <v>-1000</v>
      </c>
      <c r="C75">
        <v>1000</v>
      </c>
    </row>
    <row r="76" spans="1:3" x14ac:dyDescent="0.25">
      <c r="A76" t="s">
        <v>96</v>
      </c>
      <c r="B76">
        <v>-1000</v>
      </c>
      <c r="C76">
        <v>1000</v>
      </c>
    </row>
    <row r="77" spans="1:3" x14ac:dyDescent="0.25">
      <c r="A77" t="s">
        <v>97</v>
      </c>
      <c r="B77">
        <v>-1000</v>
      </c>
      <c r="C77">
        <v>1000</v>
      </c>
    </row>
    <row r="78" spans="1:3" x14ac:dyDescent="0.25">
      <c r="A78" t="s">
        <v>98</v>
      </c>
      <c r="B78">
        <v>-1000</v>
      </c>
      <c r="C78">
        <v>1000</v>
      </c>
    </row>
    <row r="79" spans="1:3" x14ac:dyDescent="0.25">
      <c r="A79" t="s">
        <v>99</v>
      </c>
      <c r="B79">
        <v>-1000</v>
      </c>
      <c r="C79">
        <v>1000</v>
      </c>
    </row>
    <row r="80" spans="1:3" x14ac:dyDescent="0.25">
      <c r="A80" t="s">
        <v>100</v>
      </c>
      <c r="B80">
        <v>-1000</v>
      </c>
      <c r="C80">
        <v>1000</v>
      </c>
    </row>
    <row r="81" spans="1:3" x14ac:dyDescent="0.25">
      <c r="A81" t="s">
        <v>101</v>
      </c>
      <c r="B81">
        <v>-1000</v>
      </c>
      <c r="C81">
        <v>1000</v>
      </c>
    </row>
    <row r="82" spans="1:3" x14ac:dyDescent="0.25">
      <c r="A82" t="s">
        <v>102</v>
      </c>
      <c r="B82">
        <v>-1000</v>
      </c>
      <c r="C82">
        <v>1000</v>
      </c>
    </row>
    <row r="83" spans="1:3" x14ac:dyDescent="0.25">
      <c r="A83" t="s">
        <v>103</v>
      </c>
      <c r="B83">
        <v>-1000</v>
      </c>
      <c r="C83">
        <v>1000</v>
      </c>
    </row>
    <row r="84" spans="1:3" x14ac:dyDescent="0.25">
      <c r="A84" t="s">
        <v>104</v>
      </c>
      <c r="B84">
        <v>-1000</v>
      </c>
      <c r="C84">
        <v>1000</v>
      </c>
    </row>
    <row r="85" spans="1:3" x14ac:dyDescent="0.25">
      <c r="A85" t="s">
        <v>105</v>
      </c>
      <c r="B85">
        <v>-1000</v>
      </c>
      <c r="C85">
        <v>1000</v>
      </c>
    </row>
    <row r="86" spans="1:3" x14ac:dyDescent="0.25">
      <c r="A86" t="s">
        <v>106</v>
      </c>
      <c r="B86">
        <v>-1000</v>
      </c>
      <c r="C86">
        <v>1000</v>
      </c>
    </row>
    <row r="87" spans="1:3" x14ac:dyDescent="0.25">
      <c r="A87" t="s">
        <v>107</v>
      </c>
      <c r="B87">
        <v>-1000</v>
      </c>
      <c r="C87">
        <v>1000</v>
      </c>
    </row>
    <row r="88" spans="1:3" x14ac:dyDescent="0.25">
      <c r="A88" t="s">
        <v>108</v>
      </c>
      <c r="B88">
        <v>-1000</v>
      </c>
      <c r="C88">
        <v>1000</v>
      </c>
    </row>
    <row r="89" spans="1:3" x14ac:dyDescent="0.25">
      <c r="A89" t="s">
        <v>109</v>
      </c>
      <c r="B89">
        <v>-1000</v>
      </c>
      <c r="C89">
        <v>1000</v>
      </c>
    </row>
    <row r="90" spans="1:3" x14ac:dyDescent="0.25">
      <c r="A90" t="s">
        <v>110</v>
      </c>
      <c r="B90">
        <v>-1000</v>
      </c>
      <c r="C90">
        <v>1000</v>
      </c>
    </row>
    <row r="91" spans="1:3" x14ac:dyDescent="0.25">
      <c r="A91" t="s">
        <v>111</v>
      </c>
      <c r="B91">
        <v>-1000</v>
      </c>
      <c r="C91">
        <v>1000</v>
      </c>
    </row>
    <row r="92" spans="1:3" x14ac:dyDescent="0.25">
      <c r="A92" t="s">
        <v>112</v>
      </c>
      <c r="B92">
        <v>-1000</v>
      </c>
      <c r="C92">
        <v>1000</v>
      </c>
    </row>
    <row r="93" spans="1:3" x14ac:dyDescent="0.25">
      <c r="A93" t="s">
        <v>113</v>
      </c>
      <c r="B93">
        <v>-1000</v>
      </c>
      <c r="C93">
        <v>1000</v>
      </c>
    </row>
    <row r="94" spans="1:3" x14ac:dyDescent="0.25">
      <c r="A94" t="s">
        <v>114</v>
      </c>
      <c r="B94">
        <v>-1000</v>
      </c>
      <c r="C94">
        <v>1000</v>
      </c>
    </row>
    <row r="95" spans="1:3" x14ac:dyDescent="0.25">
      <c r="A95" t="s">
        <v>115</v>
      </c>
      <c r="B95">
        <v>-1000</v>
      </c>
      <c r="C95">
        <v>1000</v>
      </c>
    </row>
    <row r="96" spans="1:3" x14ac:dyDescent="0.25">
      <c r="A96" t="s">
        <v>116</v>
      </c>
      <c r="B96">
        <v>-1000</v>
      </c>
      <c r="C96">
        <v>1000</v>
      </c>
    </row>
    <row r="97" spans="1:3" x14ac:dyDescent="0.25">
      <c r="A97" t="s">
        <v>117</v>
      </c>
      <c r="B97">
        <v>-1000</v>
      </c>
      <c r="C97">
        <v>1000</v>
      </c>
    </row>
    <row r="98" spans="1:3" x14ac:dyDescent="0.25">
      <c r="A98" t="s">
        <v>118</v>
      </c>
      <c r="B98">
        <v>-1000</v>
      </c>
      <c r="C98">
        <v>1000</v>
      </c>
    </row>
    <row r="99" spans="1:3" x14ac:dyDescent="0.25">
      <c r="A99" t="s">
        <v>119</v>
      </c>
      <c r="B99">
        <v>-1000</v>
      </c>
      <c r="C99">
        <v>1000</v>
      </c>
    </row>
    <row r="100" spans="1:3" x14ac:dyDescent="0.25">
      <c r="A100" t="s">
        <v>120</v>
      </c>
      <c r="B100">
        <v>-1000</v>
      </c>
      <c r="C100">
        <v>1000</v>
      </c>
    </row>
    <row r="101" spans="1:3" x14ac:dyDescent="0.25">
      <c r="A101" t="s">
        <v>121</v>
      </c>
      <c r="B101">
        <v>-1000</v>
      </c>
      <c r="C101">
        <v>1000</v>
      </c>
    </row>
    <row r="102" spans="1:3" x14ac:dyDescent="0.25">
      <c r="A102" t="s">
        <v>122</v>
      </c>
      <c r="B102">
        <v>-1000</v>
      </c>
      <c r="C102">
        <v>1000</v>
      </c>
    </row>
    <row r="103" spans="1:3" x14ac:dyDescent="0.25">
      <c r="A103" t="s">
        <v>123</v>
      </c>
      <c r="B103">
        <v>-1000</v>
      </c>
      <c r="C103">
        <v>1000</v>
      </c>
    </row>
    <row r="104" spans="1:3" x14ac:dyDescent="0.25">
      <c r="A104" t="s">
        <v>124</v>
      </c>
      <c r="B104">
        <v>-1000</v>
      </c>
      <c r="C104">
        <v>1000</v>
      </c>
    </row>
    <row r="105" spans="1:3" x14ac:dyDescent="0.25">
      <c r="A105" t="s">
        <v>332</v>
      </c>
      <c r="B105">
        <v>-1000</v>
      </c>
      <c r="C105">
        <v>1000</v>
      </c>
    </row>
    <row r="106" spans="1:3" x14ac:dyDescent="0.25">
      <c r="A106" t="s">
        <v>333</v>
      </c>
      <c r="B106">
        <v>-1000</v>
      </c>
      <c r="C106">
        <v>1000</v>
      </c>
    </row>
    <row r="107" spans="1:3" x14ac:dyDescent="0.25">
      <c r="A107" t="s">
        <v>125</v>
      </c>
      <c r="B107">
        <v>-1000</v>
      </c>
      <c r="C107">
        <v>1000</v>
      </c>
    </row>
    <row r="108" spans="1:3" x14ac:dyDescent="0.25">
      <c r="A108" t="s">
        <v>126</v>
      </c>
      <c r="B108">
        <v>-1000</v>
      </c>
      <c r="C108">
        <v>1000</v>
      </c>
    </row>
    <row r="109" spans="1:3" x14ac:dyDescent="0.25">
      <c r="A109" t="s">
        <v>127</v>
      </c>
      <c r="B109">
        <v>-1000</v>
      </c>
      <c r="C109">
        <v>1000</v>
      </c>
    </row>
    <row r="110" spans="1:3" x14ac:dyDescent="0.25">
      <c r="A110" t="s">
        <v>128</v>
      </c>
      <c r="B110">
        <v>-1000</v>
      </c>
      <c r="C110">
        <v>1000</v>
      </c>
    </row>
    <row r="111" spans="1:3" x14ac:dyDescent="0.25">
      <c r="A111" t="s">
        <v>129</v>
      </c>
      <c r="B111">
        <v>-1000</v>
      </c>
      <c r="C111">
        <v>1000</v>
      </c>
    </row>
    <row r="112" spans="1:3" x14ac:dyDescent="0.25">
      <c r="A112" t="s">
        <v>130</v>
      </c>
      <c r="B112">
        <v>-1000</v>
      </c>
      <c r="C112">
        <v>1000</v>
      </c>
    </row>
    <row r="113" spans="1:3" x14ac:dyDescent="0.25">
      <c r="A113" t="s">
        <v>364</v>
      </c>
      <c r="B113">
        <v>-1000</v>
      </c>
      <c r="C113">
        <v>1000</v>
      </c>
    </row>
    <row r="114" spans="1:3" x14ac:dyDescent="0.25">
      <c r="A114" t="s">
        <v>131</v>
      </c>
      <c r="B114">
        <v>-1000</v>
      </c>
      <c r="C114">
        <v>1000</v>
      </c>
    </row>
    <row r="115" spans="1:3" x14ac:dyDescent="0.25">
      <c r="A115" t="s">
        <v>132</v>
      </c>
      <c r="B115">
        <v>-1000</v>
      </c>
      <c r="C115">
        <v>1000</v>
      </c>
    </row>
    <row r="116" spans="1:3" x14ac:dyDescent="0.25">
      <c r="A116" t="s">
        <v>334</v>
      </c>
      <c r="B116">
        <v>-1000</v>
      </c>
      <c r="C116">
        <v>1000</v>
      </c>
    </row>
    <row r="117" spans="1:3" x14ac:dyDescent="0.25">
      <c r="A117" t="s">
        <v>133</v>
      </c>
      <c r="B117">
        <v>-1000</v>
      </c>
      <c r="C117">
        <v>1000</v>
      </c>
    </row>
    <row r="118" spans="1:3" x14ac:dyDescent="0.25">
      <c r="A118" t="s">
        <v>135</v>
      </c>
      <c r="B118">
        <v>-1000</v>
      </c>
      <c r="C118">
        <v>1000</v>
      </c>
    </row>
    <row r="119" spans="1:3" x14ac:dyDescent="0.25">
      <c r="A119" t="s">
        <v>136</v>
      </c>
      <c r="B119">
        <v>-1000</v>
      </c>
      <c r="C119">
        <v>1000</v>
      </c>
    </row>
    <row r="120" spans="1:3" x14ac:dyDescent="0.25">
      <c r="A120" t="s">
        <v>137</v>
      </c>
      <c r="B120">
        <v>-1000</v>
      </c>
      <c r="C120">
        <v>1000</v>
      </c>
    </row>
    <row r="121" spans="1:3" x14ac:dyDescent="0.25">
      <c r="A121" t="s">
        <v>138</v>
      </c>
      <c r="B121">
        <v>-1000</v>
      </c>
      <c r="C121">
        <v>1000</v>
      </c>
    </row>
    <row r="122" spans="1:3" x14ac:dyDescent="0.25">
      <c r="A122" t="s">
        <v>139</v>
      </c>
      <c r="B122">
        <v>-1000</v>
      </c>
      <c r="C122">
        <v>1000</v>
      </c>
    </row>
    <row r="123" spans="1:3" x14ac:dyDescent="0.25">
      <c r="A123" t="s">
        <v>140</v>
      </c>
      <c r="B123">
        <v>-1000</v>
      </c>
      <c r="C123">
        <v>1000</v>
      </c>
    </row>
    <row r="124" spans="1:3" x14ac:dyDescent="0.25">
      <c r="A124" t="s">
        <v>141</v>
      </c>
      <c r="B124">
        <v>-1000</v>
      </c>
      <c r="C124">
        <v>1000</v>
      </c>
    </row>
    <row r="125" spans="1:3" x14ac:dyDescent="0.25">
      <c r="A125" t="s">
        <v>142</v>
      </c>
      <c r="B125">
        <v>-1000</v>
      </c>
      <c r="C125">
        <v>1000</v>
      </c>
    </row>
    <row r="126" spans="1:3" x14ac:dyDescent="0.25">
      <c r="A126" t="s">
        <v>367</v>
      </c>
      <c r="B126">
        <v>0</v>
      </c>
      <c r="C126">
        <v>0</v>
      </c>
    </row>
    <row r="127" spans="1:3" x14ac:dyDescent="0.25">
      <c r="A127" t="s">
        <v>368</v>
      </c>
      <c r="B127">
        <v>0</v>
      </c>
      <c r="C127">
        <v>0</v>
      </c>
    </row>
    <row r="128" spans="1:3" x14ac:dyDescent="0.25">
      <c r="A128" t="s">
        <v>143</v>
      </c>
      <c r="B128">
        <v>-1000</v>
      </c>
      <c r="C128">
        <v>1000</v>
      </c>
    </row>
    <row r="129" spans="1:3" x14ac:dyDescent="0.25">
      <c r="A129" t="s">
        <v>366</v>
      </c>
      <c r="B129">
        <v>0</v>
      </c>
      <c r="C129">
        <v>0</v>
      </c>
    </row>
    <row r="130" spans="1:3" x14ac:dyDescent="0.25">
      <c r="A130" t="s">
        <v>145</v>
      </c>
      <c r="B130">
        <v>-1000</v>
      </c>
      <c r="C130">
        <v>1000</v>
      </c>
    </row>
    <row r="131" spans="1:3" x14ac:dyDescent="0.25">
      <c r="A131" t="s">
        <v>146</v>
      </c>
      <c r="B131">
        <v>0</v>
      </c>
      <c r="C131">
        <v>1000</v>
      </c>
    </row>
    <row r="132" spans="1:3" x14ac:dyDescent="0.25">
      <c r="A132" t="s">
        <v>147</v>
      </c>
      <c r="B132">
        <v>0</v>
      </c>
      <c r="C132">
        <v>1000</v>
      </c>
    </row>
    <row r="133" spans="1:3" x14ac:dyDescent="0.25">
      <c r="A133" t="s">
        <v>148</v>
      </c>
      <c r="B133">
        <v>-1000</v>
      </c>
      <c r="C133">
        <v>1000</v>
      </c>
    </row>
    <row r="134" spans="1:3" x14ac:dyDescent="0.25">
      <c r="A134" t="s">
        <v>149</v>
      </c>
      <c r="B134">
        <v>-1000</v>
      </c>
      <c r="C134">
        <v>1000</v>
      </c>
    </row>
    <row r="135" spans="1:3" x14ac:dyDescent="0.25">
      <c r="A135" t="s">
        <v>361</v>
      </c>
      <c r="B135">
        <v>0</v>
      </c>
      <c r="C135">
        <v>1000</v>
      </c>
    </row>
    <row r="136" spans="1:3" x14ac:dyDescent="0.25">
      <c r="A136" t="s">
        <v>362</v>
      </c>
      <c r="B136">
        <v>0</v>
      </c>
      <c r="C136">
        <v>1000</v>
      </c>
    </row>
    <row r="137" spans="1:3" x14ac:dyDescent="0.25">
      <c r="A137" t="s">
        <v>151</v>
      </c>
      <c r="B137">
        <v>-1000</v>
      </c>
      <c r="C137">
        <v>1000</v>
      </c>
    </row>
    <row r="138" spans="1:3" x14ac:dyDescent="0.25">
      <c r="A138" t="s">
        <v>152</v>
      </c>
      <c r="B138">
        <v>-1000</v>
      </c>
      <c r="C138">
        <v>1000</v>
      </c>
    </row>
    <row r="139" spans="1:3" x14ac:dyDescent="0.25">
      <c r="A139" t="s">
        <v>153</v>
      </c>
      <c r="B139">
        <v>-1000</v>
      </c>
      <c r="C139">
        <v>1000</v>
      </c>
    </row>
    <row r="140" spans="1:3" x14ac:dyDescent="0.25">
      <c r="A140" t="s">
        <v>154</v>
      </c>
      <c r="B140">
        <v>-1000</v>
      </c>
      <c r="C140">
        <v>1000</v>
      </c>
    </row>
    <row r="141" spans="1:3" x14ac:dyDescent="0.25">
      <c r="A141" t="s">
        <v>144</v>
      </c>
      <c r="B141">
        <v>0</v>
      </c>
      <c r="C141">
        <v>1000</v>
      </c>
    </row>
    <row r="142" spans="1:3" x14ac:dyDescent="0.25">
      <c r="A142" t="s">
        <v>155</v>
      </c>
      <c r="B142">
        <v>-1000</v>
      </c>
      <c r="C142">
        <v>1000</v>
      </c>
    </row>
    <row r="143" spans="1:3" x14ac:dyDescent="0.25">
      <c r="A143" t="s">
        <v>156</v>
      </c>
      <c r="B143">
        <v>-1000</v>
      </c>
      <c r="C143">
        <v>1000</v>
      </c>
    </row>
    <row r="144" spans="1:3" x14ac:dyDescent="0.25">
      <c r="A144" t="s">
        <v>157</v>
      </c>
      <c r="B144">
        <v>-1000</v>
      </c>
      <c r="C144">
        <v>1000</v>
      </c>
    </row>
    <row r="145" spans="1:3" x14ac:dyDescent="0.25">
      <c r="A145" t="s">
        <v>158</v>
      </c>
      <c r="B145">
        <v>-1000</v>
      </c>
      <c r="C145">
        <v>1000</v>
      </c>
    </row>
    <row r="146" spans="1:3" x14ac:dyDescent="0.25">
      <c r="A146" t="s">
        <v>159</v>
      </c>
      <c r="B146">
        <v>-1000</v>
      </c>
      <c r="C146">
        <v>1000</v>
      </c>
    </row>
    <row r="147" spans="1:3" x14ac:dyDescent="0.25">
      <c r="A147" t="s">
        <v>385</v>
      </c>
      <c r="B147">
        <v>-1000</v>
      </c>
      <c r="C147">
        <v>1000</v>
      </c>
    </row>
    <row r="148" spans="1:3" x14ac:dyDescent="0.25">
      <c r="A148" t="s">
        <v>160</v>
      </c>
      <c r="B148">
        <v>-1000</v>
      </c>
      <c r="C148">
        <v>1000</v>
      </c>
    </row>
    <row r="149" spans="1:3" x14ac:dyDescent="0.25">
      <c r="A149" t="s">
        <v>161</v>
      </c>
      <c r="B149">
        <v>-1000</v>
      </c>
      <c r="C149">
        <v>1000</v>
      </c>
    </row>
    <row r="150" spans="1:3" x14ac:dyDescent="0.25">
      <c r="A150" t="s">
        <v>162</v>
      </c>
      <c r="B150">
        <v>-1000</v>
      </c>
      <c r="C150">
        <v>1000</v>
      </c>
    </row>
    <row r="151" spans="1:3" x14ac:dyDescent="0.25">
      <c r="A151" t="s">
        <v>163</v>
      </c>
      <c r="B151">
        <v>-1000</v>
      </c>
      <c r="C151">
        <v>1000</v>
      </c>
    </row>
    <row r="152" spans="1:3" x14ac:dyDescent="0.25">
      <c r="A152" t="s">
        <v>164</v>
      </c>
      <c r="B152">
        <v>-1000</v>
      </c>
      <c r="C152">
        <v>1000</v>
      </c>
    </row>
    <row r="153" spans="1:3" x14ac:dyDescent="0.25">
      <c r="A153" t="s">
        <v>165</v>
      </c>
      <c r="B153">
        <v>-1000</v>
      </c>
      <c r="C153">
        <v>1000</v>
      </c>
    </row>
    <row r="154" spans="1:3" x14ac:dyDescent="0.25">
      <c r="A154" t="s">
        <v>166</v>
      </c>
      <c r="B154">
        <v>-1000</v>
      </c>
      <c r="C154">
        <v>1000</v>
      </c>
    </row>
    <row r="155" spans="1:3" x14ac:dyDescent="0.25">
      <c r="A155" t="s">
        <v>167</v>
      </c>
      <c r="B155">
        <v>-1000</v>
      </c>
      <c r="C155">
        <v>1000</v>
      </c>
    </row>
    <row r="156" spans="1:3" x14ac:dyDescent="0.25">
      <c r="A156" t="s">
        <v>335</v>
      </c>
      <c r="B156">
        <v>-1000</v>
      </c>
      <c r="C156">
        <v>1000</v>
      </c>
    </row>
    <row r="157" spans="1:3" x14ac:dyDescent="0.25">
      <c r="A157" t="s">
        <v>168</v>
      </c>
      <c r="B157">
        <v>-1000</v>
      </c>
      <c r="C157">
        <v>1000</v>
      </c>
    </row>
    <row r="158" spans="1:3" x14ac:dyDescent="0.25">
      <c r="A158" t="s">
        <v>169</v>
      </c>
      <c r="B158">
        <v>-1000</v>
      </c>
      <c r="C158">
        <v>1000</v>
      </c>
    </row>
    <row r="159" spans="1:3" x14ac:dyDescent="0.25">
      <c r="A159" t="s">
        <v>170</v>
      </c>
      <c r="B159">
        <v>-1000</v>
      </c>
      <c r="C159">
        <v>1000</v>
      </c>
    </row>
    <row r="160" spans="1:3" x14ac:dyDescent="0.25">
      <c r="A160" t="s">
        <v>171</v>
      </c>
      <c r="B160">
        <v>-1000</v>
      </c>
      <c r="C160">
        <v>1000</v>
      </c>
    </row>
    <row r="161" spans="1:3" x14ac:dyDescent="0.25">
      <c r="A161" t="s">
        <v>173</v>
      </c>
      <c r="B161">
        <v>-1000</v>
      </c>
      <c r="C161">
        <v>1000</v>
      </c>
    </row>
    <row r="162" spans="1:3" x14ac:dyDescent="0.25">
      <c r="A162" t="s">
        <v>174</v>
      </c>
      <c r="B162">
        <v>-1000</v>
      </c>
      <c r="C162">
        <v>1000</v>
      </c>
    </row>
    <row r="163" spans="1:3" x14ac:dyDescent="0.25">
      <c r="A163" t="s">
        <v>175</v>
      </c>
      <c r="B163">
        <v>-1000</v>
      </c>
      <c r="C163">
        <v>1000</v>
      </c>
    </row>
    <row r="164" spans="1:3" x14ac:dyDescent="0.25">
      <c r="A164" t="s">
        <v>435</v>
      </c>
      <c r="B164">
        <v>-1000</v>
      </c>
      <c r="C164">
        <v>1000</v>
      </c>
    </row>
    <row r="165" spans="1:3" x14ac:dyDescent="0.25">
      <c r="A165" t="s">
        <v>176</v>
      </c>
      <c r="B165">
        <v>-1000</v>
      </c>
      <c r="C165">
        <v>1000</v>
      </c>
    </row>
    <row r="166" spans="1:3" x14ac:dyDescent="0.25">
      <c r="A166" t="s">
        <v>177</v>
      </c>
      <c r="B166">
        <v>-1000</v>
      </c>
      <c r="C166">
        <v>1000</v>
      </c>
    </row>
    <row r="167" spans="1:3" x14ac:dyDescent="0.25">
      <c r="A167" t="s">
        <v>363</v>
      </c>
      <c r="B167">
        <v>0</v>
      </c>
      <c r="C167">
        <v>0</v>
      </c>
    </row>
    <row r="168" spans="1:3" x14ac:dyDescent="0.25">
      <c r="A168" t="s">
        <v>336</v>
      </c>
      <c r="B168">
        <v>-1000</v>
      </c>
      <c r="C168">
        <v>1000</v>
      </c>
    </row>
    <row r="169" spans="1:3" x14ac:dyDescent="0.25">
      <c r="A169" t="s">
        <v>360</v>
      </c>
      <c r="B169">
        <v>100</v>
      </c>
      <c r="C169">
        <v>100</v>
      </c>
    </row>
    <row r="170" spans="1:3" x14ac:dyDescent="0.25">
      <c r="A170" t="s">
        <v>178</v>
      </c>
      <c r="B170">
        <f>val!C7</f>
        <v>194.96583861362987</v>
      </c>
      <c r="C170">
        <f>val!C7</f>
        <v>194.96583861362987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8FFE3-D525-4D11-B861-4323BCE1AB89}">
  <dimension ref="A1:C170"/>
  <sheetViews>
    <sheetView topLeftCell="A28" workbookViewId="0">
      <selection activeCell="J48" sqref="J48"/>
    </sheetView>
  </sheetViews>
  <sheetFormatPr defaultRowHeight="15" x14ac:dyDescent="0.25"/>
  <cols>
    <col min="1" max="1" width="18.5703125" bestFit="1" customWidth="1"/>
  </cols>
  <sheetData>
    <row r="1" spans="1:3" x14ac:dyDescent="0.25">
      <c r="A1" t="s">
        <v>5</v>
      </c>
      <c r="B1" t="s">
        <v>352</v>
      </c>
      <c r="C1" t="s">
        <v>353</v>
      </c>
    </row>
    <row r="2" spans="1:3" x14ac:dyDescent="0.25">
      <c r="A2" t="s">
        <v>39</v>
      </c>
      <c r="B2">
        <v>-1000</v>
      </c>
      <c r="C2">
        <v>1000</v>
      </c>
    </row>
    <row r="3" spans="1:3" x14ac:dyDescent="0.25">
      <c r="A3" t="s">
        <v>359</v>
      </c>
      <c r="B3">
        <v>0</v>
      </c>
      <c r="C3">
        <v>0</v>
      </c>
    </row>
    <row r="4" spans="1:3" x14ac:dyDescent="0.25">
      <c r="A4" t="s">
        <v>386</v>
      </c>
      <c r="B4">
        <v>-1000</v>
      </c>
      <c r="C4">
        <v>1000</v>
      </c>
    </row>
    <row r="5" spans="1:3" x14ac:dyDescent="0.25">
      <c r="A5" t="s">
        <v>358</v>
      </c>
      <c r="B5">
        <v>0</v>
      </c>
      <c r="C5">
        <v>0</v>
      </c>
    </row>
    <row r="6" spans="1:3" x14ac:dyDescent="0.25">
      <c r="A6" t="s">
        <v>40</v>
      </c>
      <c r="B6">
        <v>-1000</v>
      </c>
      <c r="C6">
        <v>1000</v>
      </c>
    </row>
    <row r="7" spans="1:3" x14ac:dyDescent="0.25">
      <c r="A7" t="s">
        <v>41</v>
      </c>
      <c r="B7">
        <v>-1000</v>
      </c>
      <c r="C7">
        <v>1000</v>
      </c>
    </row>
    <row r="8" spans="1:3" x14ac:dyDescent="0.25">
      <c r="A8" t="s">
        <v>42</v>
      </c>
      <c r="B8">
        <v>-1000</v>
      </c>
      <c r="C8">
        <v>1000</v>
      </c>
    </row>
    <row r="9" spans="1:3" x14ac:dyDescent="0.25">
      <c r="A9" t="s">
        <v>43</v>
      </c>
      <c r="B9">
        <v>-1000</v>
      </c>
      <c r="C9">
        <v>1000</v>
      </c>
    </row>
    <row r="10" spans="1:3" x14ac:dyDescent="0.25">
      <c r="A10" t="s">
        <v>44</v>
      </c>
      <c r="B10">
        <v>-1000</v>
      </c>
      <c r="C10">
        <v>1000</v>
      </c>
    </row>
    <row r="11" spans="1:3" x14ac:dyDescent="0.25">
      <c r="A11" t="s">
        <v>45</v>
      </c>
      <c r="B11">
        <v>0</v>
      </c>
      <c r="C11">
        <v>1000</v>
      </c>
    </row>
    <row r="12" spans="1:3" x14ac:dyDescent="0.25">
      <c r="A12" t="s">
        <v>324</v>
      </c>
      <c r="B12">
        <v>0</v>
      </c>
      <c r="C12">
        <v>1000</v>
      </c>
    </row>
    <row r="13" spans="1:3" x14ac:dyDescent="0.25">
      <c r="A13" t="s">
        <v>371</v>
      </c>
      <c r="B13">
        <v>-1000</v>
      </c>
      <c r="C13">
        <v>1000</v>
      </c>
    </row>
    <row r="14" spans="1:3" x14ac:dyDescent="0.25">
      <c r="A14" t="s">
        <v>371</v>
      </c>
      <c r="B14">
        <v>-1000</v>
      </c>
      <c r="C14">
        <v>1000</v>
      </c>
    </row>
    <row r="15" spans="1:3" x14ac:dyDescent="0.25">
      <c r="A15" t="s">
        <v>46</v>
      </c>
      <c r="B15">
        <v>-1000</v>
      </c>
      <c r="C15">
        <v>1000</v>
      </c>
    </row>
    <row r="16" spans="1:3" x14ac:dyDescent="0.25">
      <c r="A16" t="s">
        <v>47</v>
      </c>
      <c r="B16">
        <v>-1000</v>
      </c>
      <c r="C16">
        <v>1000</v>
      </c>
    </row>
    <row r="17" spans="1:3" x14ac:dyDescent="0.25">
      <c r="A17" t="s">
        <v>48</v>
      </c>
      <c r="B17">
        <v>-1000</v>
      </c>
      <c r="C17">
        <v>1000</v>
      </c>
    </row>
    <row r="18" spans="1:3" x14ac:dyDescent="0.25">
      <c r="A18" t="s">
        <v>49</v>
      </c>
      <c r="B18">
        <v>-1000</v>
      </c>
      <c r="C18">
        <v>1000</v>
      </c>
    </row>
    <row r="19" spans="1:3" x14ac:dyDescent="0.25">
      <c r="A19" t="s">
        <v>50</v>
      </c>
      <c r="B19">
        <v>-1000</v>
      </c>
      <c r="C19">
        <v>1000</v>
      </c>
    </row>
    <row r="20" spans="1:3" x14ac:dyDescent="0.25">
      <c r="A20" t="s">
        <v>51</v>
      </c>
      <c r="B20">
        <v>-1000</v>
      </c>
      <c r="C20">
        <v>1000</v>
      </c>
    </row>
    <row r="21" spans="1:3" x14ac:dyDescent="0.25">
      <c r="A21" t="s">
        <v>52</v>
      </c>
      <c r="B21">
        <v>-1000</v>
      </c>
      <c r="C21">
        <v>1000</v>
      </c>
    </row>
    <row r="22" spans="1:3" x14ac:dyDescent="0.25">
      <c r="A22" t="s">
        <v>53</v>
      </c>
      <c r="B22">
        <v>-1000</v>
      </c>
      <c r="C22">
        <v>1000</v>
      </c>
    </row>
    <row r="23" spans="1:3" x14ac:dyDescent="0.25">
      <c r="A23" t="s">
        <v>54</v>
      </c>
      <c r="B23">
        <v>-1000</v>
      </c>
      <c r="C23">
        <v>1000</v>
      </c>
    </row>
    <row r="24" spans="1:3" x14ac:dyDescent="0.25">
      <c r="A24" t="s">
        <v>55</v>
      </c>
      <c r="B24">
        <v>-1000</v>
      </c>
      <c r="C24">
        <v>1000</v>
      </c>
    </row>
    <row r="25" spans="1:3" x14ac:dyDescent="0.25">
      <c r="A25" t="s">
        <v>56</v>
      </c>
      <c r="B25">
        <v>-1000</v>
      </c>
      <c r="C25">
        <v>1000</v>
      </c>
    </row>
    <row r="26" spans="1:3" x14ac:dyDescent="0.25">
      <c r="A26" t="s">
        <v>57</v>
      </c>
      <c r="B26">
        <v>-1000</v>
      </c>
      <c r="C26">
        <v>1000</v>
      </c>
    </row>
    <row r="27" spans="1:3" x14ac:dyDescent="0.25">
      <c r="A27" t="s">
        <v>58</v>
      </c>
      <c r="B27">
        <v>-1000</v>
      </c>
      <c r="C27">
        <v>1000</v>
      </c>
    </row>
    <row r="28" spans="1:3" x14ac:dyDescent="0.25">
      <c r="A28" t="s">
        <v>59</v>
      </c>
      <c r="B28">
        <v>-1000</v>
      </c>
      <c r="C28">
        <v>1000</v>
      </c>
    </row>
    <row r="29" spans="1:3" x14ac:dyDescent="0.25">
      <c r="A29" t="s">
        <v>325</v>
      </c>
      <c r="B29">
        <v>-1000</v>
      </c>
      <c r="C29">
        <v>1000</v>
      </c>
    </row>
    <row r="30" spans="1:3" x14ac:dyDescent="0.25">
      <c r="A30" t="s">
        <v>60</v>
      </c>
      <c r="B30">
        <v>-1000</v>
      </c>
      <c r="C30">
        <v>1000</v>
      </c>
    </row>
    <row r="31" spans="1:3" x14ac:dyDescent="0.25">
      <c r="A31" t="s">
        <v>61</v>
      </c>
      <c r="B31">
        <v>-1000</v>
      </c>
      <c r="C31">
        <v>1000</v>
      </c>
    </row>
    <row r="32" spans="1:3" x14ac:dyDescent="0.25">
      <c r="A32" t="s">
        <v>62</v>
      </c>
      <c r="B32">
        <v>-1000</v>
      </c>
      <c r="C32">
        <v>1000</v>
      </c>
    </row>
    <row r="33" spans="1:3" x14ac:dyDescent="0.25">
      <c r="A33" t="s">
        <v>63</v>
      </c>
      <c r="B33">
        <v>-1000</v>
      </c>
      <c r="C33">
        <v>1000</v>
      </c>
    </row>
    <row r="34" spans="1:3" x14ac:dyDescent="0.25">
      <c r="A34" t="s">
        <v>64</v>
      </c>
      <c r="B34">
        <v>-1000</v>
      </c>
      <c r="C34">
        <v>1000</v>
      </c>
    </row>
    <row r="35" spans="1:3" x14ac:dyDescent="0.25">
      <c r="A35" t="s">
        <v>65</v>
      </c>
      <c r="B35">
        <v>-1000</v>
      </c>
      <c r="C35">
        <v>1000</v>
      </c>
    </row>
    <row r="36" spans="1:3" x14ac:dyDescent="0.25">
      <c r="A36" t="s">
        <v>66</v>
      </c>
      <c r="B36">
        <v>-1000</v>
      </c>
      <c r="C36">
        <v>1000</v>
      </c>
    </row>
    <row r="37" spans="1:3" x14ac:dyDescent="0.25">
      <c r="A37" t="s">
        <v>442</v>
      </c>
      <c r="B37">
        <v>-1000</v>
      </c>
      <c r="C37">
        <v>1000</v>
      </c>
    </row>
    <row r="38" spans="1:3" x14ac:dyDescent="0.25">
      <c r="A38" t="s">
        <v>438</v>
      </c>
      <c r="B38">
        <v>0</v>
      </c>
      <c r="C38">
        <v>0</v>
      </c>
    </row>
    <row r="39" spans="1:3" x14ac:dyDescent="0.25">
      <c r="A39" t="s">
        <v>326</v>
      </c>
      <c r="B39">
        <v>-1000</v>
      </c>
      <c r="C39">
        <v>1000</v>
      </c>
    </row>
    <row r="40" spans="1:3" x14ac:dyDescent="0.25">
      <c r="A40" t="s">
        <v>369</v>
      </c>
      <c r="B40">
        <v>-1000</v>
      </c>
      <c r="C40">
        <v>1000</v>
      </c>
    </row>
    <row r="41" spans="1:3" x14ac:dyDescent="0.25">
      <c r="A41" t="s">
        <v>67</v>
      </c>
      <c r="B41">
        <v>-1000</v>
      </c>
      <c r="C41">
        <v>1000</v>
      </c>
    </row>
    <row r="42" spans="1:3" x14ac:dyDescent="0.25">
      <c r="A42" t="s">
        <v>327</v>
      </c>
      <c r="B42">
        <v>-1000</v>
      </c>
      <c r="C42">
        <v>1000</v>
      </c>
    </row>
    <row r="43" spans="1:3" x14ac:dyDescent="0.25">
      <c r="A43" t="s">
        <v>68</v>
      </c>
      <c r="B43">
        <v>-1000</v>
      </c>
      <c r="C43">
        <v>1000</v>
      </c>
    </row>
    <row r="44" spans="1:3" x14ac:dyDescent="0.25">
      <c r="A44" t="s">
        <v>69</v>
      </c>
      <c r="B44">
        <v>-1000</v>
      </c>
      <c r="C44">
        <v>1000</v>
      </c>
    </row>
    <row r="45" spans="1:3" x14ac:dyDescent="0.25">
      <c r="A45" t="s">
        <v>70</v>
      </c>
      <c r="B45">
        <v>0</v>
      </c>
      <c r="C45">
        <v>0</v>
      </c>
    </row>
    <row r="46" spans="1:3" x14ac:dyDescent="0.25">
      <c r="A46" t="s">
        <v>71</v>
      </c>
      <c r="B46">
        <v>-1000</v>
      </c>
      <c r="C46">
        <v>1000</v>
      </c>
    </row>
    <row r="47" spans="1:3" x14ac:dyDescent="0.25">
      <c r="A47" t="s">
        <v>72</v>
      </c>
      <c r="B47">
        <v>-1000</v>
      </c>
      <c r="C47">
        <v>1000</v>
      </c>
    </row>
    <row r="48" spans="1:3" x14ac:dyDescent="0.25">
      <c r="A48" t="s">
        <v>73</v>
      </c>
      <c r="B48">
        <v>-1000</v>
      </c>
      <c r="C48">
        <v>1000</v>
      </c>
    </row>
    <row r="49" spans="1:3" x14ac:dyDescent="0.25">
      <c r="A49" t="s">
        <v>74</v>
      </c>
      <c r="B49">
        <v>-1000</v>
      </c>
      <c r="C49">
        <v>1000</v>
      </c>
    </row>
    <row r="50" spans="1:3" x14ac:dyDescent="0.25">
      <c r="A50" t="s">
        <v>75</v>
      </c>
      <c r="B50">
        <v>-1000</v>
      </c>
      <c r="C50">
        <v>1000</v>
      </c>
    </row>
    <row r="51" spans="1:3" x14ac:dyDescent="0.25">
      <c r="A51" t="s">
        <v>76</v>
      </c>
      <c r="B51">
        <v>-1000</v>
      </c>
      <c r="C51">
        <v>1000</v>
      </c>
    </row>
    <row r="52" spans="1:3" x14ac:dyDescent="0.25">
      <c r="A52" t="s">
        <v>77</v>
      </c>
      <c r="B52">
        <v>-1000</v>
      </c>
      <c r="C52">
        <v>1000</v>
      </c>
    </row>
    <row r="53" spans="1:3" x14ac:dyDescent="0.25">
      <c r="A53" t="s">
        <v>78</v>
      </c>
      <c r="B53">
        <v>-1000</v>
      </c>
      <c r="C53">
        <v>1000</v>
      </c>
    </row>
    <row r="54" spans="1:3" x14ac:dyDescent="0.25">
      <c r="A54" t="s">
        <v>79</v>
      </c>
      <c r="B54">
        <v>-1000</v>
      </c>
      <c r="C54">
        <v>1000</v>
      </c>
    </row>
    <row r="55" spans="1:3" x14ac:dyDescent="0.25">
      <c r="A55" t="s">
        <v>80</v>
      </c>
      <c r="B55">
        <v>-1000</v>
      </c>
      <c r="C55">
        <v>1000</v>
      </c>
    </row>
    <row r="56" spans="1:3" x14ac:dyDescent="0.25">
      <c r="A56" t="s">
        <v>81</v>
      </c>
      <c r="B56">
        <v>-1000</v>
      </c>
      <c r="C56">
        <v>1000</v>
      </c>
    </row>
    <row r="57" spans="1:3" x14ac:dyDescent="0.25">
      <c r="A57" t="s">
        <v>82</v>
      </c>
      <c r="B57">
        <v>-1000</v>
      </c>
      <c r="C57">
        <v>1000</v>
      </c>
    </row>
    <row r="58" spans="1:3" x14ac:dyDescent="0.25">
      <c r="A58" t="s">
        <v>83</v>
      </c>
      <c r="B58">
        <v>-1000</v>
      </c>
      <c r="C58">
        <v>1000</v>
      </c>
    </row>
    <row r="59" spans="1:3" x14ac:dyDescent="0.25">
      <c r="A59" t="s">
        <v>84</v>
      </c>
      <c r="B59">
        <v>-1000</v>
      </c>
      <c r="C59">
        <v>1000</v>
      </c>
    </row>
    <row r="60" spans="1:3" x14ac:dyDescent="0.25">
      <c r="A60" t="s">
        <v>365</v>
      </c>
      <c r="B60">
        <v>0</v>
      </c>
      <c r="C60">
        <v>0</v>
      </c>
    </row>
    <row r="61" spans="1:3" x14ac:dyDescent="0.25">
      <c r="A61" t="s">
        <v>328</v>
      </c>
      <c r="B61">
        <v>-1000</v>
      </c>
      <c r="C61">
        <v>1000</v>
      </c>
    </row>
    <row r="62" spans="1:3" x14ac:dyDescent="0.25">
      <c r="A62" t="s">
        <v>85</v>
      </c>
      <c r="B62">
        <v>-1000</v>
      </c>
      <c r="C62">
        <v>1000</v>
      </c>
    </row>
    <row r="63" spans="1:3" x14ac:dyDescent="0.25">
      <c r="A63" t="s">
        <v>86</v>
      </c>
      <c r="B63">
        <v>-1000</v>
      </c>
      <c r="C63">
        <v>1000</v>
      </c>
    </row>
    <row r="64" spans="1:3" x14ac:dyDescent="0.25">
      <c r="A64" t="s">
        <v>87</v>
      </c>
      <c r="B64">
        <v>-1000</v>
      </c>
      <c r="C64">
        <v>1000</v>
      </c>
    </row>
    <row r="65" spans="1:3" x14ac:dyDescent="0.25">
      <c r="A65" t="s">
        <v>88</v>
      </c>
      <c r="B65">
        <v>-1000</v>
      </c>
      <c r="C65">
        <v>1000</v>
      </c>
    </row>
    <row r="66" spans="1:3" x14ac:dyDescent="0.25">
      <c r="A66" t="s">
        <v>89</v>
      </c>
      <c r="B66">
        <v>-1000</v>
      </c>
      <c r="C66">
        <v>1000</v>
      </c>
    </row>
    <row r="67" spans="1:3" x14ac:dyDescent="0.25">
      <c r="A67" t="s">
        <v>90</v>
      </c>
      <c r="B67">
        <v>0</v>
      </c>
      <c r="C67">
        <v>1000</v>
      </c>
    </row>
    <row r="68" spans="1:3" x14ac:dyDescent="0.25">
      <c r="A68" t="s">
        <v>329</v>
      </c>
      <c r="B68">
        <v>-1000</v>
      </c>
      <c r="C68">
        <v>1000</v>
      </c>
    </row>
    <row r="69" spans="1:3" x14ac:dyDescent="0.25">
      <c r="A69" t="s">
        <v>91</v>
      </c>
      <c r="B69">
        <v>-1000</v>
      </c>
      <c r="C69">
        <v>1000</v>
      </c>
    </row>
    <row r="70" spans="1:3" x14ac:dyDescent="0.25">
      <c r="A70" t="s">
        <v>92</v>
      </c>
      <c r="B70">
        <v>-1000</v>
      </c>
      <c r="C70">
        <v>1000</v>
      </c>
    </row>
    <row r="71" spans="1:3" x14ac:dyDescent="0.25">
      <c r="A71" t="s">
        <v>93</v>
      </c>
      <c r="B71">
        <v>-1000</v>
      </c>
      <c r="C71">
        <v>1000</v>
      </c>
    </row>
    <row r="72" spans="1:3" x14ac:dyDescent="0.25">
      <c r="A72" t="s">
        <v>94</v>
      </c>
      <c r="B72">
        <v>-1000</v>
      </c>
      <c r="C72">
        <v>1000</v>
      </c>
    </row>
    <row r="73" spans="1:3" x14ac:dyDescent="0.25">
      <c r="A73" t="s">
        <v>330</v>
      </c>
      <c r="B73">
        <v>0</v>
      </c>
      <c r="C73">
        <v>1000</v>
      </c>
    </row>
    <row r="74" spans="1:3" x14ac:dyDescent="0.25">
      <c r="A74" t="s">
        <v>95</v>
      </c>
      <c r="B74">
        <v>-1000</v>
      </c>
      <c r="C74">
        <v>1000</v>
      </c>
    </row>
    <row r="75" spans="1:3" x14ac:dyDescent="0.25">
      <c r="A75" t="s">
        <v>331</v>
      </c>
      <c r="B75">
        <v>-1000</v>
      </c>
      <c r="C75">
        <v>1000</v>
      </c>
    </row>
    <row r="76" spans="1:3" x14ac:dyDescent="0.25">
      <c r="A76" t="s">
        <v>96</v>
      </c>
      <c r="B76">
        <v>-1000</v>
      </c>
      <c r="C76">
        <v>1000</v>
      </c>
    </row>
    <row r="77" spans="1:3" x14ac:dyDescent="0.25">
      <c r="A77" t="s">
        <v>97</v>
      </c>
      <c r="B77">
        <v>-1000</v>
      </c>
      <c r="C77">
        <v>1000</v>
      </c>
    </row>
    <row r="78" spans="1:3" x14ac:dyDescent="0.25">
      <c r="A78" t="s">
        <v>98</v>
      </c>
      <c r="B78">
        <v>-1000</v>
      </c>
      <c r="C78">
        <v>1000</v>
      </c>
    </row>
    <row r="79" spans="1:3" x14ac:dyDescent="0.25">
      <c r="A79" t="s">
        <v>99</v>
      </c>
      <c r="B79">
        <v>-1000</v>
      </c>
      <c r="C79">
        <v>1000</v>
      </c>
    </row>
    <row r="80" spans="1:3" x14ac:dyDescent="0.25">
      <c r="A80" t="s">
        <v>100</v>
      </c>
      <c r="B80">
        <v>-1000</v>
      </c>
      <c r="C80">
        <v>1000</v>
      </c>
    </row>
    <row r="81" spans="1:3" x14ac:dyDescent="0.25">
      <c r="A81" t="s">
        <v>101</v>
      </c>
      <c r="B81">
        <v>-1000</v>
      </c>
      <c r="C81">
        <v>1000</v>
      </c>
    </row>
    <row r="82" spans="1:3" x14ac:dyDescent="0.25">
      <c r="A82" t="s">
        <v>102</v>
      </c>
      <c r="B82">
        <v>-1000</v>
      </c>
      <c r="C82">
        <v>1000</v>
      </c>
    </row>
    <row r="83" spans="1:3" x14ac:dyDescent="0.25">
      <c r="A83" t="s">
        <v>103</v>
      </c>
      <c r="B83">
        <v>-1000</v>
      </c>
      <c r="C83">
        <v>1000</v>
      </c>
    </row>
    <row r="84" spans="1:3" x14ac:dyDescent="0.25">
      <c r="A84" t="s">
        <v>104</v>
      </c>
      <c r="B84">
        <v>-1000</v>
      </c>
      <c r="C84">
        <v>1000</v>
      </c>
    </row>
    <row r="85" spans="1:3" x14ac:dyDescent="0.25">
      <c r="A85" t="s">
        <v>105</v>
      </c>
      <c r="B85">
        <v>-1000</v>
      </c>
      <c r="C85">
        <v>1000</v>
      </c>
    </row>
    <row r="86" spans="1:3" x14ac:dyDescent="0.25">
      <c r="A86" t="s">
        <v>106</v>
      </c>
      <c r="B86">
        <v>-1000</v>
      </c>
      <c r="C86">
        <v>1000</v>
      </c>
    </row>
    <row r="87" spans="1:3" x14ac:dyDescent="0.25">
      <c r="A87" t="s">
        <v>107</v>
      </c>
      <c r="B87">
        <v>-1000</v>
      </c>
      <c r="C87">
        <v>1000</v>
      </c>
    </row>
    <row r="88" spans="1:3" x14ac:dyDescent="0.25">
      <c r="A88" t="s">
        <v>108</v>
      </c>
      <c r="B88">
        <v>-1000</v>
      </c>
      <c r="C88">
        <v>1000</v>
      </c>
    </row>
    <row r="89" spans="1:3" x14ac:dyDescent="0.25">
      <c r="A89" t="s">
        <v>109</v>
      </c>
      <c r="B89">
        <v>-1000</v>
      </c>
      <c r="C89">
        <v>1000</v>
      </c>
    </row>
    <row r="90" spans="1:3" x14ac:dyDescent="0.25">
      <c r="A90" t="s">
        <v>110</v>
      </c>
      <c r="B90">
        <v>-1000</v>
      </c>
      <c r="C90">
        <v>1000</v>
      </c>
    </row>
    <row r="91" spans="1:3" x14ac:dyDescent="0.25">
      <c r="A91" t="s">
        <v>111</v>
      </c>
      <c r="B91">
        <v>-1000</v>
      </c>
      <c r="C91">
        <v>1000</v>
      </c>
    </row>
    <row r="92" spans="1:3" x14ac:dyDescent="0.25">
      <c r="A92" t="s">
        <v>112</v>
      </c>
      <c r="B92">
        <v>-1000</v>
      </c>
      <c r="C92">
        <v>1000</v>
      </c>
    </row>
    <row r="93" spans="1:3" x14ac:dyDescent="0.25">
      <c r="A93" t="s">
        <v>113</v>
      </c>
      <c r="B93">
        <v>-1000</v>
      </c>
      <c r="C93">
        <v>1000</v>
      </c>
    </row>
    <row r="94" spans="1:3" x14ac:dyDescent="0.25">
      <c r="A94" t="s">
        <v>114</v>
      </c>
      <c r="B94">
        <v>-1000</v>
      </c>
      <c r="C94">
        <v>1000</v>
      </c>
    </row>
    <row r="95" spans="1:3" x14ac:dyDescent="0.25">
      <c r="A95" t="s">
        <v>115</v>
      </c>
      <c r="B95">
        <v>-1000</v>
      </c>
      <c r="C95">
        <v>1000</v>
      </c>
    </row>
    <row r="96" spans="1:3" x14ac:dyDescent="0.25">
      <c r="A96" t="s">
        <v>116</v>
      </c>
      <c r="B96">
        <v>-1000</v>
      </c>
      <c r="C96">
        <v>1000</v>
      </c>
    </row>
    <row r="97" spans="1:3" x14ac:dyDescent="0.25">
      <c r="A97" t="s">
        <v>117</v>
      </c>
      <c r="B97">
        <v>-1000</v>
      </c>
      <c r="C97">
        <v>1000</v>
      </c>
    </row>
    <row r="98" spans="1:3" x14ac:dyDescent="0.25">
      <c r="A98" t="s">
        <v>118</v>
      </c>
      <c r="B98">
        <v>-1000</v>
      </c>
      <c r="C98">
        <v>1000</v>
      </c>
    </row>
    <row r="99" spans="1:3" x14ac:dyDescent="0.25">
      <c r="A99" t="s">
        <v>119</v>
      </c>
      <c r="B99">
        <v>-1000</v>
      </c>
      <c r="C99">
        <v>1000</v>
      </c>
    </row>
    <row r="100" spans="1:3" x14ac:dyDescent="0.25">
      <c r="A100" t="s">
        <v>120</v>
      </c>
      <c r="B100">
        <v>-1000</v>
      </c>
      <c r="C100">
        <v>1000</v>
      </c>
    </row>
    <row r="101" spans="1:3" x14ac:dyDescent="0.25">
      <c r="A101" t="s">
        <v>121</v>
      </c>
      <c r="B101">
        <v>-1000</v>
      </c>
      <c r="C101">
        <v>1000</v>
      </c>
    </row>
    <row r="102" spans="1:3" x14ac:dyDescent="0.25">
      <c r="A102" t="s">
        <v>122</v>
      </c>
      <c r="B102">
        <v>-1000</v>
      </c>
      <c r="C102">
        <v>1000</v>
      </c>
    </row>
    <row r="103" spans="1:3" x14ac:dyDescent="0.25">
      <c r="A103" t="s">
        <v>123</v>
      </c>
      <c r="B103">
        <v>-1000</v>
      </c>
      <c r="C103">
        <v>1000</v>
      </c>
    </row>
    <row r="104" spans="1:3" x14ac:dyDescent="0.25">
      <c r="A104" t="s">
        <v>124</v>
      </c>
      <c r="B104">
        <v>-1000</v>
      </c>
      <c r="C104">
        <v>1000</v>
      </c>
    </row>
    <row r="105" spans="1:3" x14ac:dyDescent="0.25">
      <c r="A105" t="s">
        <v>332</v>
      </c>
      <c r="B105">
        <v>-1000</v>
      </c>
      <c r="C105">
        <v>1000</v>
      </c>
    </row>
    <row r="106" spans="1:3" x14ac:dyDescent="0.25">
      <c r="A106" t="s">
        <v>333</v>
      </c>
      <c r="B106">
        <v>-1000</v>
      </c>
      <c r="C106">
        <v>1000</v>
      </c>
    </row>
    <row r="107" spans="1:3" x14ac:dyDescent="0.25">
      <c r="A107" t="s">
        <v>125</v>
      </c>
      <c r="B107">
        <v>-1000</v>
      </c>
      <c r="C107">
        <v>1000</v>
      </c>
    </row>
    <row r="108" spans="1:3" x14ac:dyDescent="0.25">
      <c r="A108" t="s">
        <v>126</v>
      </c>
      <c r="B108">
        <v>-1000</v>
      </c>
      <c r="C108">
        <v>1000</v>
      </c>
    </row>
    <row r="109" spans="1:3" x14ac:dyDescent="0.25">
      <c r="A109" t="s">
        <v>127</v>
      </c>
      <c r="B109">
        <v>-1000</v>
      </c>
      <c r="C109">
        <v>1000</v>
      </c>
    </row>
    <row r="110" spans="1:3" x14ac:dyDescent="0.25">
      <c r="A110" t="s">
        <v>128</v>
      </c>
      <c r="B110">
        <v>-1000</v>
      </c>
      <c r="C110">
        <v>1000</v>
      </c>
    </row>
    <row r="111" spans="1:3" x14ac:dyDescent="0.25">
      <c r="A111" t="s">
        <v>129</v>
      </c>
      <c r="B111">
        <v>-1000</v>
      </c>
      <c r="C111">
        <v>1000</v>
      </c>
    </row>
    <row r="112" spans="1:3" x14ac:dyDescent="0.25">
      <c r="A112" t="s">
        <v>130</v>
      </c>
      <c r="B112">
        <v>-1000</v>
      </c>
      <c r="C112">
        <v>1000</v>
      </c>
    </row>
    <row r="113" spans="1:3" x14ac:dyDescent="0.25">
      <c r="A113" t="s">
        <v>364</v>
      </c>
      <c r="B113">
        <v>-1000</v>
      </c>
      <c r="C113">
        <v>1000</v>
      </c>
    </row>
    <row r="114" spans="1:3" x14ac:dyDescent="0.25">
      <c r="A114" t="s">
        <v>131</v>
      </c>
      <c r="B114">
        <v>-1000</v>
      </c>
      <c r="C114">
        <v>1000</v>
      </c>
    </row>
    <row r="115" spans="1:3" x14ac:dyDescent="0.25">
      <c r="A115" t="s">
        <v>132</v>
      </c>
      <c r="B115">
        <v>-1000</v>
      </c>
      <c r="C115">
        <v>1000</v>
      </c>
    </row>
    <row r="116" spans="1:3" x14ac:dyDescent="0.25">
      <c r="A116" t="s">
        <v>334</v>
      </c>
      <c r="B116">
        <v>-1000</v>
      </c>
      <c r="C116">
        <v>1000</v>
      </c>
    </row>
    <row r="117" spans="1:3" x14ac:dyDescent="0.25">
      <c r="A117" t="s">
        <v>133</v>
      </c>
      <c r="B117">
        <v>-1000</v>
      </c>
      <c r="C117">
        <v>1000</v>
      </c>
    </row>
    <row r="118" spans="1:3" x14ac:dyDescent="0.25">
      <c r="A118" t="s">
        <v>135</v>
      </c>
      <c r="B118">
        <v>-1000</v>
      </c>
      <c r="C118">
        <v>1000</v>
      </c>
    </row>
    <row r="119" spans="1:3" x14ac:dyDescent="0.25">
      <c r="A119" t="s">
        <v>136</v>
      </c>
      <c r="B119">
        <v>-1000</v>
      </c>
      <c r="C119">
        <v>1000</v>
      </c>
    </row>
    <row r="120" spans="1:3" x14ac:dyDescent="0.25">
      <c r="A120" t="s">
        <v>137</v>
      </c>
      <c r="B120">
        <v>-1000</v>
      </c>
      <c r="C120">
        <v>1000</v>
      </c>
    </row>
    <row r="121" spans="1:3" x14ac:dyDescent="0.25">
      <c r="A121" t="s">
        <v>138</v>
      </c>
      <c r="B121">
        <v>-1000</v>
      </c>
      <c r="C121">
        <v>1000</v>
      </c>
    </row>
    <row r="122" spans="1:3" x14ac:dyDescent="0.25">
      <c r="A122" t="s">
        <v>139</v>
      </c>
      <c r="B122">
        <v>-1000</v>
      </c>
      <c r="C122">
        <v>1000</v>
      </c>
    </row>
    <row r="123" spans="1:3" x14ac:dyDescent="0.25">
      <c r="A123" t="s">
        <v>140</v>
      </c>
      <c r="B123">
        <v>-1000</v>
      </c>
      <c r="C123">
        <v>1000</v>
      </c>
    </row>
    <row r="124" spans="1:3" x14ac:dyDescent="0.25">
      <c r="A124" t="s">
        <v>141</v>
      </c>
      <c r="B124">
        <v>-1000</v>
      </c>
      <c r="C124">
        <v>1000</v>
      </c>
    </row>
    <row r="125" spans="1:3" x14ac:dyDescent="0.25">
      <c r="A125" t="s">
        <v>142</v>
      </c>
      <c r="B125">
        <v>-1000</v>
      </c>
      <c r="C125">
        <v>1000</v>
      </c>
    </row>
    <row r="126" spans="1:3" x14ac:dyDescent="0.25">
      <c r="A126" t="s">
        <v>367</v>
      </c>
      <c r="B126">
        <v>0</v>
      </c>
      <c r="C126">
        <v>0</v>
      </c>
    </row>
    <row r="127" spans="1:3" x14ac:dyDescent="0.25">
      <c r="A127" t="s">
        <v>368</v>
      </c>
      <c r="B127">
        <v>0</v>
      </c>
      <c r="C127">
        <v>0</v>
      </c>
    </row>
    <row r="128" spans="1:3" x14ac:dyDescent="0.25">
      <c r="A128" t="s">
        <v>143</v>
      </c>
      <c r="B128">
        <v>-1000</v>
      </c>
      <c r="C128">
        <v>1000</v>
      </c>
    </row>
    <row r="129" spans="1:3" x14ac:dyDescent="0.25">
      <c r="A129" t="s">
        <v>366</v>
      </c>
      <c r="B129">
        <v>0</v>
      </c>
      <c r="C129">
        <v>0</v>
      </c>
    </row>
    <row r="130" spans="1:3" x14ac:dyDescent="0.25">
      <c r="A130" t="s">
        <v>145</v>
      </c>
      <c r="B130">
        <v>-1000</v>
      </c>
      <c r="C130">
        <v>1000</v>
      </c>
    </row>
    <row r="131" spans="1:3" x14ac:dyDescent="0.25">
      <c r="A131" t="s">
        <v>146</v>
      </c>
      <c r="B131">
        <v>0</v>
      </c>
      <c r="C131">
        <v>1000</v>
      </c>
    </row>
    <row r="132" spans="1:3" x14ac:dyDescent="0.25">
      <c r="A132" t="s">
        <v>147</v>
      </c>
      <c r="B132">
        <v>0</v>
      </c>
      <c r="C132">
        <v>1000</v>
      </c>
    </row>
    <row r="133" spans="1:3" x14ac:dyDescent="0.25">
      <c r="A133" t="s">
        <v>148</v>
      </c>
      <c r="B133">
        <v>-1000</v>
      </c>
      <c r="C133">
        <v>1000</v>
      </c>
    </row>
    <row r="134" spans="1:3" x14ac:dyDescent="0.25">
      <c r="A134" t="s">
        <v>149</v>
      </c>
      <c r="B134">
        <v>-1000</v>
      </c>
      <c r="C134">
        <v>1000</v>
      </c>
    </row>
    <row r="135" spans="1:3" x14ac:dyDescent="0.25">
      <c r="A135" t="s">
        <v>361</v>
      </c>
      <c r="B135">
        <v>0</v>
      </c>
      <c r="C135">
        <v>0</v>
      </c>
    </row>
    <row r="136" spans="1:3" x14ac:dyDescent="0.25">
      <c r="A136" t="s">
        <v>362</v>
      </c>
      <c r="B136">
        <v>0</v>
      </c>
      <c r="C136">
        <v>1000</v>
      </c>
    </row>
    <row r="137" spans="1:3" x14ac:dyDescent="0.25">
      <c r="A137" t="s">
        <v>151</v>
      </c>
      <c r="B137">
        <v>-1000</v>
      </c>
      <c r="C137">
        <v>1000</v>
      </c>
    </row>
    <row r="138" spans="1:3" x14ac:dyDescent="0.25">
      <c r="A138" t="s">
        <v>152</v>
      </c>
      <c r="B138">
        <v>-1000</v>
      </c>
      <c r="C138">
        <v>1000</v>
      </c>
    </row>
    <row r="139" spans="1:3" x14ac:dyDescent="0.25">
      <c r="A139" t="s">
        <v>153</v>
      </c>
      <c r="B139">
        <v>-1000</v>
      </c>
      <c r="C139">
        <v>1000</v>
      </c>
    </row>
    <row r="140" spans="1:3" x14ac:dyDescent="0.25">
      <c r="A140" t="s">
        <v>154</v>
      </c>
      <c r="B140">
        <v>-1000</v>
      </c>
      <c r="C140">
        <v>1000</v>
      </c>
    </row>
    <row r="141" spans="1:3" x14ac:dyDescent="0.25">
      <c r="A141" t="s">
        <v>144</v>
      </c>
      <c r="B141">
        <v>0</v>
      </c>
      <c r="C141">
        <v>1000</v>
      </c>
    </row>
    <row r="142" spans="1:3" x14ac:dyDescent="0.25">
      <c r="A142" t="s">
        <v>155</v>
      </c>
      <c r="B142">
        <v>-1000</v>
      </c>
      <c r="C142">
        <v>1000</v>
      </c>
    </row>
    <row r="143" spans="1:3" x14ac:dyDescent="0.25">
      <c r="A143" t="s">
        <v>156</v>
      </c>
      <c r="B143">
        <v>-1000</v>
      </c>
      <c r="C143">
        <v>1000</v>
      </c>
    </row>
    <row r="144" spans="1:3" x14ac:dyDescent="0.25">
      <c r="A144" t="s">
        <v>157</v>
      </c>
      <c r="B144">
        <v>-1000</v>
      </c>
      <c r="C144">
        <v>1000</v>
      </c>
    </row>
    <row r="145" spans="1:3" x14ac:dyDescent="0.25">
      <c r="A145" t="s">
        <v>158</v>
      </c>
      <c r="B145">
        <v>-1000</v>
      </c>
      <c r="C145">
        <v>1000</v>
      </c>
    </row>
    <row r="146" spans="1:3" x14ac:dyDescent="0.25">
      <c r="A146" t="s">
        <v>159</v>
      </c>
      <c r="B146">
        <v>-1000</v>
      </c>
      <c r="C146">
        <v>1000</v>
      </c>
    </row>
    <row r="147" spans="1:3" x14ac:dyDescent="0.25">
      <c r="A147" t="s">
        <v>385</v>
      </c>
      <c r="B147">
        <v>-1000</v>
      </c>
      <c r="C147">
        <v>1000</v>
      </c>
    </row>
    <row r="148" spans="1:3" x14ac:dyDescent="0.25">
      <c r="A148" t="s">
        <v>160</v>
      </c>
      <c r="B148">
        <v>-1000</v>
      </c>
      <c r="C148">
        <v>1000</v>
      </c>
    </row>
    <row r="149" spans="1:3" x14ac:dyDescent="0.25">
      <c r="A149" t="s">
        <v>161</v>
      </c>
      <c r="B149">
        <v>-1000</v>
      </c>
      <c r="C149">
        <v>1000</v>
      </c>
    </row>
    <row r="150" spans="1:3" x14ac:dyDescent="0.25">
      <c r="A150" t="s">
        <v>162</v>
      </c>
      <c r="B150">
        <v>-1000</v>
      </c>
      <c r="C150">
        <v>1000</v>
      </c>
    </row>
    <row r="151" spans="1:3" x14ac:dyDescent="0.25">
      <c r="A151" t="s">
        <v>163</v>
      </c>
      <c r="B151">
        <v>-1000</v>
      </c>
      <c r="C151">
        <v>1000</v>
      </c>
    </row>
    <row r="152" spans="1:3" x14ac:dyDescent="0.25">
      <c r="A152" t="s">
        <v>164</v>
      </c>
      <c r="B152">
        <v>-1000</v>
      </c>
      <c r="C152">
        <v>1000</v>
      </c>
    </row>
    <row r="153" spans="1:3" x14ac:dyDescent="0.25">
      <c r="A153" t="s">
        <v>165</v>
      </c>
      <c r="B153">
        <v>-1000</v>
      </c>
      <c r="C153">
        <v>1000</v>
      </c>
    </row>
    <row r="154" spans="1:3" x14ac:dyDescent="0.25">
      <c r="A154" t="s">
        <v>166</v>
      </c>
      <c r="B154">
        <v>-1000</v>
      </c>
      <c r="C154">
        <v>1000</v>
      </c>
    </row>
    <row r="155" spans="1:3" x14ac:dyDescent="0.25">
      <c r="A155" t="s">
        <v>167</v>
      </c>
      <c r="B155">
        <v>-1000</v>
      </c>
      <c r="C155">
        <v>1000</v>
      </c>
    </row>
    <row r="156" spans="1:3" x14ac:dyDescent="0.25">
      <c r="A156" t="s">
        <v>335</v>
      </c>
      <c r="B156">
        <v>-1000</v>
      </c>
      <c r="C156">
        <v>1000</v>
      </c>
    </row>
    <row r="157" spans="1:3" x14ac:dyDescent="0.25">
      <c r="A157" t="s">
        <v>168</v>
      </c>
      <c r="B157">
        <v>-1000</v>
      </c>
      <c r="C157">
        <v>1000</v>
      </c>
    </row>
    <row r="158" spans="1:3" x14ac:dyDescent="0.25">
      <c r="A158" t="s">
        <v>169</v>
      </c>
      <c r="B158">
        <v>-1000</v>
      </c>
      <c r="C158">
        <v>1000</v>
      </c>
    </row>
    <row r="159" spans="1:3" x14ac:dyDescent="0.25">
      <c r="A159" t="s">
        <v>170</v>
      </c>
      <c r="B159">
        <v>-1000</v>
      </c>
      <c r="C159">
        <v>1000</v>
      </c>
    </row>
    <row r="160" spans="1:3" x14ac:dyDescent="0.25">
      <c r="A160" t="s">
        <v>171</v>
      </c>
      <c r="B160">
        <v>-1000</v>
      </c>
      <c r="C160">
        <v>1000</v>
      </c>
    </row>
    <row r="161" spans="1:3" x14ac:dyDescent="0.25">
      <c r="A161" t="s">
        <v>173</v>
      </c>
      <c r="B161">
        <v>-1000</v>
      </c>
      <c r="C161">
        <v>1000</v>
      </c>
    </row>
    <row r="162" spans="1:3" x14ac:dyDescent="0.25">
      <c r="A162" t="s">
        <v>174</v>
      </c>
      <c r="B162">
        <v>-1000</v>
      </c>
      <c r="C162">
        <v>1000</v>
      </c>
    </row>
    <row r="163" spans="1:3" x14ac:dyDescent="0.25">
      <c r="A163" t="s">
        <v>175</v>
      </c>
      <c r="B163">
        <v>-1000</v>
      </c>
      <c r="C163">
        <v>1000</v>
      </c>
    </row>
    <row r="164" spans="1:3" x14ac:dyDescent="0.25">
      <c r="A164" t="s">
        <v>435</v>
      </c>
      <c r="B164">
        <v>-1000</v>
      </c>
      <c r="C164">
        <v>1000</v>
      </c>
    </row>
    <row r="165" spans="1:3" x14ac:dyDescent="0.25">
      <c r="A165" t="s">
        <v>176</v>
      </c>
      <c r="B165">
        <v>-1000</v>
      </c>
      <c r="C165">
        <v>1000</v>
      </c>
    </row>
    <row r="166" spans="1:3" x14ac:dyDescent="0.25">
      <c r="A166" t="s">
        <v>177</v>
      </c>
      <c r="B166">
        <v>-1000</v>
      </c>
      <c r="C166">
        <v>1000</v>
      </c>
    </row>
    <row r="167" spans="1:3" x14ac:dyDescent="0.25">
      <c r="A167" t="s">
        <v>363</v>
      </c>
      <c r="B167">
        <v>0</v>
      </c>
      <c r="C167">
        <v>0</v>
      </c>
    </row>
    <row r="168" spans="1:3" x14ac:dyDescent="0.25">
      <c r="A168" t="s">
        <v>336</v>
      </c>
      <c r="B168">
        <v>-1000</v>
      </c>
      <c r="C168">
        <v>1000</v>
      </c>
    </row>
    <row r="169" spans="1:3" x14ac:dyDescent="0.25">
      <c r="A169" t="s">
        <v>360</v>
      </c>
      <c r="B169">
        <v>100</v>
      </c>
      <c r="C169">
        <v>100</v>
      </c>
    </row>
    <row r="170" spans="1:3" x14ac:dyDescent="0.25">
      <c r="A170" t="s">
        <v>178</v>
      </c>
      <c r="B170">
        <f>val!C7</f>
        <v>194.96583861362987</v>
      </c>
      <c r="C170">
        <f>val!C7</f>
        <v>194.96583861362987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Cmol</vt:lpstr>
      <vt:lpstr>val</vt:lpstr>
      <vt:lpstr>S</vt:lpstr>
      <vt:lpstr>Results</vt:lpstr>
      <vt:lpstr>SUMMARY</vt:lpstr>
      <vt:lpstr>Bounds_A</vt:lpstr>
      <vt:lpstr>Bounds_B</vt:lpstr>
      <vt:lpstr>Bounds_C</vt:lpstr>
      <vt:lpstr>Bounds_D</vt:lpstr>
      <vt:lpstr>Bounds_E</vt:lpstr>
      <vt:lpstr>Bounds_F</vt:lpstr>
      <vt:lpstr>Bounds_G</vt:lpstr>
      <vt:lpstr>Bounds_H</vt:lpstr>
      <vt:lpstr>Bounds_I</vt:lpstr>
      <vt:lpstr>Bounds_J</vt:lpstr>
      <vt:lpstr>Bounds_K</vt:lpstr>
      <vt:lpstr>Bounds_L</vt:lpstr>
      <vt:lpstr>Bounds_M</vt:lpstr>
      <vt:lpstr>Bounds_N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Marieke Warmerdam</dc:creator>
  <cp:lastModifiedBy>Marieke Warmerdam</cp:lastModifiedBy>
  <dcterms:created xsi:type="dcterms:W3CDTF">2015-06-05T18:17:20Z</dcterms:created>
  <dcterms:modified xsi:type="dcterms:W3CDTF">2026-02-19T12:51:27Z</dcterms:modified>
</cp:coreProperties>
</file>